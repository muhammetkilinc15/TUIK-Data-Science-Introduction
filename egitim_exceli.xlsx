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python kitap\"/>
    </mc:Choice>
  </mc:AlternateContent>
  <xr:revisionPtr revIDLastSave="0" documentId="13_ncr:1000001_{9CEC1320-CD7F-D243-9EFF-FB52A3ADD20A}" xr6:coauthVersionLast="47" xr6:coauthVersionMax="47" xr10:uidLastSave="{00000000-0000-0000-0000-000000000000}"/>
  <bookViews>
    <workbookView xWindow="0" yWindow="0" windowWidth="19368" windowHeight="8928" xr2:uid="{00000000-000D-0000-FFFF-FFFF00000000}"/>
  </bookViews>
  <sheets>
    <sheet name="ARABALAR" sheetId="1" r:id="rId1"/>
    <sheet name="Sayfa1" sheetId="2" r:id="rId2"/>
  </sheets>
  <definedNames>
    <definedName name="_xlnm._FilterDatabase" localSheetId="0" hidden="1">ARABALAR!$A$1:$O$429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C26" i="2"/>
  <c r="C25" i="2"/>
  <c r="O18" i="2"/>
  <c r="N18" i="2"/>
  <c r="M18" i="2"/>
  <c r="L18" i="2"/>
  <c r="K18" i="2"/>
  <c r="J18" i="2"/>
  <c r="I18" i="2"/>
  <c r="H18" i="2"/>
  <c r="G18" i="2"/>
  <c r="F18" i="2"/>
  <c r="O17" i="2"/>
  <c r="N17" i="2"/>
  <c r="M17" i="2"/>
  <c r="L17" i="2"/>
  <c r="K17" i="2"/>
  <c r="J17" i="2"/>
  <c r="I17" i="2"/>
  <c r="H17" i="2"/>
  <c r="G17" i="2"/>
  <c r="F17" i="2"/>
  <c r="O15" i="2"/>
  <c r="N15" i="2"/>
  <c r="M15" i="2"/>
  <c r="L15" i="2"/>
  <c r="K15" i="2"/>
  <c r="J15" i="2"/>
  <c r="I15" i="2"/>
  <c r="H15" i="2"/>
  <c r="G15" i="2"/>
  <c r="F15" i="2"/>
  <c r="O14" i="2"/>
  <c r="N14" i="2"/>
  <c r="M14" i="2"/>
  <c r="L14" i="2"/>
  <c r="K14" i="2"/>
  <c r="J14" i="2"/>
  <c r="I14" i="2"/>
  <c r="H14" i="2"/>
  <c r="G14" i="2"/>
  <c r="F14" i="2"/>
  <c r="O13" i="2"/>
  <c r="N13" i="2"/>
  <c r="M13" i="2"/>
  <c r="L13" i="2"/>
  <c r="K13" i="2"/>
  <c r="J13" i="2"/>
  <c r="I13" i="2"/>
  <c r="H13" i="2"/>
  <c r="G13" i="2"/>
  <c r="F13" i="2"/>
  <c r="O12" i="2"/>
  <c r="N12" i="2"/>
  <c r="M12" i="2"/>
  <c r="L12" i="2"/>
  <c r="K12" i="2"/>
  <c r="J12" i="2"/>
  <c r="I12" i="2"/>
  <c r="H12" i="2"/>
  <c r="G12" i="2"/>
  <c r="F12" i="2"/>
  <c r="O11" i="2"/>
  <c r="N11" i="2"/>
  <c r="M11" i="2"/>
  <c r="L11" i="2"/>
  <c r="K11" i="2"/>
  <c r="J11" i="2"/>
  <c r="I11" i="2"/>
  <c r="H11" i="2"/>
  <c r="G11" i="2"/>
  <c r="F11" i="2"/>
  <c r="O10" i="2"/>
  <c r="N10" i="2"/>
  <c r="M10" i="2"/>
  <c r="L10" i="2"/>
  <c r="K10" i="2"/>
  <c r="J10" i="2"/>
  <c r="I10" i="2"/>
  <c r="H10" i="2"/>
  <c r="G10" i="2"/>
  <c r="F10" i="2"/>
  <c r="O9" i="2"/>
  <c r="N9" i="2"/>
  <c r="M9" i="2"/>
  <c r="L9" i="2"/>
  <c r="K9" i="2"/>
  <c r="J9" i="2"/>
  <c r="I9" i="2"/>
  <c r="H9" i="2"/>
  <c r="G9" i="2"/>
  <c r="F9" i="2"/>
  <c r="O8" i="2"/>
  <c r="N8" i="2"/>
  <c r="M8" i="2"/>
  <c r="L8" i="2"/>
  <c r="K8" i="2"/>
  <c r="J8" i="2"/>
  <c r="I8" i="2"/>
  <c r="H8" i="2"/>
  <c r="G8" i="2"/>
  <c r="F8" i="2"/>
  <c r="O7" i="2"/>
  <c r="O21" i="2"/>
  <c r="N7" i="2"/>
  <c r="N22" i="2"/>
  <c r="M7" i="2"/>
  <c r="M22" i="2"/>
  <c r="L7" i="2"/>
  <c r="K7" i="2"/>
  <c r="K21" i="2"/>
  <c r="J7" i="2"/>
  <c r="J21" i="2"/>
  <c r="I7" i="2"/>
  <c r="I21" i="2"/>
  <c r="H7" i="2"/>
  <c r="G7" i="2"/>
  <c r="G21" i="2"/>
  <c r="F7" i="2"/>
  <c r="F21" i="2"/>
  <c r="O6" i="2"/>
  <c r="N6" i="2"/>
  <c r="M6" i="2"/>
  <c r="L6" i="2"/>
  <c r="K6" i="2"/>
  <c r="J6" i="2"/>
  <c r="I6" i="2"/>
  <c r="H6" i="2"/>
  <c r="G6" i="2"/>
  <c r="F6" i="2"/>
  <c r="O5" i="2"/>
  <c r="O23" i="2"/>
  <c r="N5" i="2"/>
  <c r="N23" i="2"/>
  <c r="M5" i="2"/>
  <c r="M23" i="2"/>
  <c r="L5" i="2"/>
  <c r="K5" i="2"/>
  <c r="K23" i="2"/>
  <c r="J5" i="2"/>
  <c r="J23" i="2"/>
  <c r="I5" i="2"/>
  <c r="I23" i="2"/>
  <c r="H5" i="2"/>
  <c r="G5" i="2"/>
  <c r="G23" i="2"/>
  <c r="F5" i="2"/>
  <c r="F24" i="2"/>
  <c r="O4" i="2"/>
  <c r="N4" i="2"/>
  <c r="M4" i="2"/>
  <c r="L4" i="2"/>
  <c r="K4" i="2"/>
  <c r="J4" i="2"/>
  <c r="I4" i="2"/>
  <c r="H4" i="2"/>
  <c r="G4" i="2"/>
  <c r="F4" i="2"/>
  <c r="O3" i="2"/>
  <c r="N3" i="2"/>
  <c r="M3" i="2"/>
  <c r="L3" i="2"/>
  <c r="K3" i="2"/>
  <c r="J3" i="2"/>
  <c r="I3" i="2"/>
  <c r="H3" i="2"/>
  <c r="G3" i="2"/>
  <c r="F3" i="2"/>
  <c r="O2" i="2"/>
  <c r="O19" i="2"/>
  <c r="N2" i="2"/>
  <c r="N19" i="2"/>
  <c r="M2" i="2"/>
  <c r="M19" i="2"/>
  <c r="L2" i="2"/>
  <c r="L19" i="2"/>
  <c r="K2" i="2"/>
  <c r="K19" i="2"/>
  <c r="J2" i="2"/>
  <c r="J20" i="2"/>
  <c r="I2" i="2"/>
  <c r="I20" i="2"/>
  <c r="H2" i="2"/>
  <c r="H19" i="2"/>
  <c r="G2" i="2"/>
  <c r="G19" i="2"/>
  <c r="F2" i="2"/>
  <c r="F19" i="2"/>
  <c r="K16" i="2"/>
  <c r="O16" i="2"/>
  <c r="H21" i="2"/>
  <c r="L21" i="2"/>
  <c r="L16" i="2"/>
  <c r="H23" i="2"/>
  <c r="L23" i="2"/>
  <c r="I16" i="2"/>
  <c r="M16" i="2"/>
  <c r="F16" i="2"/>
  <c r="N16" i="2"/>
  <c r="I19" i="2"/>
  <c r="K20" i="2"/>
  <c r="M21" i="2"/>
  <c r="O22" i="2"/>
  <c r="G24" i="2"/>
  <c r="J19" i="2"/>
  <c r="L20" i="2"/>
  <c r="N21" i="2"/>
  <c r="F23" i="2"/>
  <c r="H24" i="2"/>
  <c r="M20" i="2"/>
  <c r="I24" i="2"/>
  <c r="N20" i="2"/>
  <c r="F22" i="2"/>
  <c r="J24" i="2"/>
  <c r="G16" i="2"/>
  <c r="O20" i="2"/>
  <c r="G22" i="2"/>
  <c r="K24" i="2"/>
  <c r="H16" i="2"/>
  <c r="H22" i="2"/>
  <c r="L24" i="2"/>
  <c r="I22" i="2"/>
  <c r="M24" i="2"/>
  <c r="J16" i="2"/>
  <c r="F20" i="2"/>
  <c r="J22" i="2"/>
  <c r="N24" i="2"/>
  <c r="G20" i="2"/>
  <c r="K22" i="2"/>
  <c r="O24" i="2"/>
  <c r="H20" i="2"/>
  <c r="L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14614074456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2"/>
          </rPr>
          <t>2016 yılında üretilen Amerika'da satışta olan otomobil sınıfındaki araçlara ait bazı değişkenler.</t>
        </r>
      </text>
    </comment>
  </commentList>
</comments>
</file>

<file path=xl/sharedStrings.xml><?xml version="1.0" encoding="utf-8"?>
<sst xmlns="http://schemas.openxmlformats.org/spreadsheetml/2006/main" count="2549" uniqueCount="521">
  <si>
    <t>Marka</t>
  </si>
  <si>
    <t>Model</t>
  </si>
  <si>
    <t>Tip</t>
  </si>
  <si>
    <t>Orijin</t>
  </si>
  <si>
    <t>Fatura</t>
  </si>
  <si>
    <t>Agirlik</t>
  </si>
  <si>
    <t>Uzunluk</t>
  </si>
  <si>
    <t>Standart Sapma Yöntemi</t>
  </si>
  <si>
    <t>Medyan Yöntemi</t>
  </si>
  <si>
    <t>Acura</t>
  </si>
  <si>
    <t xml:space="preserve"> MDX</t>
  </si>
  <si>
    <t>SUV</t>
  </si>
  <si>
    <t>Asya</t>
  </si>
  <si>
    <t>4*4</t>
  </si>
  <si>
    <t xml:space="preserve"> RSX Type S 2dr</t>
  </si>
  <si>
    <t>Sedan</t>
  </si>
  <si>
    <t>Önden</t>
  </si>
  <si>
    <t xml:space="preserve"> TSX 4dr</t>
  </si>
  <si>
    <t xml:space="preserve"> TL 4dr</t>
  </si>
  <si>
    <t xml:space="preserve"> 3.5 RL 4dr</t>
  </si>
  <si>
    <t xml:space="preserve"> 3.5 RL w/Navigation 4dr</t>
  </si>
  <si>
    <t xml:space="preserve"> NSX coupe 2dr manual S</t>
  </si>
  <si>
    <t>Sports</t>
  </si>
  <si>
    <t>Arkadan</t>
  </si>
  <si>
    <t>Audi</t>
  </si>
  <si>
    <t xml:space="preserve"> A4 1.8T 4dr</t>
  </si>
  <si>
    <t>Avrupa</t>
  </si>
  <si>
    <t xml:space="preserve"> A41.8T convertible 2dr</t>
  </si>
  <si>
    <t xml:space="preserve"> A4 3.0 4dr</t>
  </si>
  <si>
    <t xml:space="preserve"> A4 3.0 Quattro 4dr manual</t>
  </si>
  <si>
    <t xml:space="preserve"> A4 3.0 Quattro 4dr auto</t>
  </si>
  <si>
    <t xml:space="preserve"> A6 3.0 4dr</t>
  </si>
  <si>
    <t xml:space="preserve"> A6 3.0 Quattro 4dr</t>
  </si>
  <si>
    <t xml:space="preserve"> A4 3.0 convertible 2dr</t>
  </si>
  <si>
    <t xml:space="preserve"> A4 3.0 Quattro convertible 2dr</t>
  </si>
  <si>
    <t xml:space="preserve"> A6 2.7 Turbo Quattro 4dr</t>
  </si>
  <si>
    <t xml:space="preserve"> A6 4.2 Quattro 4dr</t>
  </si>
  <si>
    <t xml:space="preserve"> A8 L Quattro 4dr</t>
  </si>
  <si>
    <t xml:space="preserve"> S4 Quattro 4dr</t>
  </si>
  <si>
    <t xml:space="preserve"> RS 6 4dr</t>
  </si>
  <si>
    <t xml:space="preserve"> TT 1.8 convertible 2dr (coupe)</t>
  </si>
  <si>
    <t xml:space="preserve"> TT 1.8 Quattro 2dr (convertible)</t>
  </si>
  <si>
    <t xml:space="preserve"> TT 3.2 coupe 2dr (convertible)</t>
  </si>
  <si>
    <t xml:space="preserve"> A6 3.0 Avant Quattro</t>
  </si>
  <si>
    <t>Wagon</t>
  </si>
  <si>
    <t xml:space="preserve"> S4 Avant Quattro</t>
  </si>
  <si>
    <t>BMW</t>
  </si>
  <si>
    <t xml:space="preserve"> X3 3.0i</t>
  </si>
  <si>
    <t xml:space="preserve"> X5 4.4i</t>
  </si>
  <si>
    <t xml:space="preserve"> 325i 4dr</t>
  </si>
  <si>
    <t xml:space="preserve"> 325Ci 2dr</t>
  </si>
  <si>
    <t xml:space="preserve"> 325Ci convertible 2dr</t>
  </si>
  <si>
    <t xml:space="preserve"> 325xi 4dr</t>
  </si>
  <si>
    <t xml:space="preserve"> 330i 4dr</t>
  </si>
  <si>
    <t xml:space="preserve"> 330Ci 2dr</t>
  </si>
  <si>
    <t xml:space="preserve"> 330xi 4dr</t>
  </si>
  <si>
    <t xml:space="preserve"> 525i 4dr</t>
  </si>
  <si>
    <t xml:space="preserve"> 330Ci convertible 2dr</t>
  </si>
  <si>
    <t xml:space="preserve"> 530i 4dr</t>
  </si>
  <si>
    <t xml:space="preserve"> 545iA 4dr</t>
  </si>
  <si>
    <t xml:space="preserve"> 745i 4dr</t>
  </si>
  <si>
    <t xml:space="preserve"> 745Li 4dr</t>
  </si>
  <si>
    <t xml:space="preserve"> M3 coupe 2dr</t>
  </si>
  <si>
    <t xml:space="preserve"> M3 convertible 2dr</t>
  </si>
  <si>
    <t xml:space="preserve"> Z4 convertible 2.5i 2dr</t>
  </si>
  <si>
    <t xml:space="preserve"> Z4 convertible 3.0i 2dr</t>
  </si>
  <si>
    <t xml:space="preserve"> 325xi Sport</t>
  </si>
  <si>
    <t>Buick</t>
  </si>
  <si>
    <t xml:space="preserve"> Rainier</t>
  </si>
  <si>
    <t>Amerika</t>
  </si>
  <si>
    <t xml:space="preserve"> Rendezvous CX</t>
  </si>
  <si>
    <t xml:space="preserve"> Century Custom 4dr</t>
  </si>
  <si>
    <t xml:space="preserve"> LeSabre Custom 4dr</t>
  </si>
  <si>
    <t xml:space="preserve"> Regal LS 4dr</t>
  </si>
  <si>
    <t xml:space="preserve"> Regal GS 4dr</t>
  </si>
  <si>
    <t xml:space="preserve"> LeSabre Limited 4dr</t>
  </si>
  <si>
    <t xml:space="preserve"> Park Avenue 4dr</t>
  </si>
  <si>
    <t xml:space="preserve"> Park Avenue Ultra 4dr</t>
  </si>
  <si>
    <t>Cadillac</t>
  </si>
  <si>
    <t xml:space="preserve"> Escalade</t>
  </si>
  <si>
    <t xml:space="preserve"> SRX V8</t>
  </si>
  <si>
    <t xml:space="preserve"> CTS VVT 4dr</t>
  </si>
  <si>
    <t xml:space="preserve"> Deville 4dr</t>
  </si>
  <si>
    <t xml:space="preserve"> Deville DTS 4dr</t>
  </si>
  <si>
    <t xml:space="preserve"> Seville SLS 4dr</t>
  </si>
  <si>
    <t xml:space="preserve"> XLR convertible 2dr</t>
  </si>
  <si>
    <t xml:space="preserve"> Escalade EXT</t>
  </si>
  <si>
    <t>Truck</t>
  </si>
  <si>
    <t>Chevrolet</t>
  </si>
  <si>
    <t xml:space="preserve"> Suburban 1500 LT</t>
  </si>
  <si>
    <t xml:space="preserve"> Tahoe LT</t>
  </si>
  <si>
    <t xml:space="preserve"> TrailBlazer LT</t>
  </si>
  <si>
    <t xml:space="preserve"> Tracker</t>
  </si>
  <si>
    <t xml:space="preserve"> Aveo 4dr</t>
  </si>
  <si>
    <t xml:space="preserve"> Aveo LS 4dr hatch</t>
  </si>
  <si>
    <t xml:space="preserve"> Cavalier 2dr</t>
  </si>
  <si>
    <t xml:space="preserve"> Cavalier 4dr</t>
  </si>
  <si>
    <t xml:space="preserve"> Cavalier LS 2dr</t>
  </si>
  <si>
    <t xml:space="preserve"> Impala 4dr</t>
  </si>
  <si>
    <t xml:space="preserve"> Malibu 4dr</t>
  </si>
  <si>
    <t xml:space="preserve"> Malibu LS 4dr</t>
  </si>
  <si>
    <t xml:space="preserve"> Monte Carlo LS 2dr</t>
  </si>
  <si>
    <t xml:space="preserve"> Impala LS 4dr</t>
  </si>
  <si>
    <t xml:space="preserve"> Impala SS 4dr</t>
  </si>
  <si>
    <t xml:space="preserve"> Malibu LT 4dr</t>
  </si>
  <si>
    <t xml:space="preserve"> Monte Carlo SS 2dr</t>
  </si>
  <si>
    <t xml:space="preserve"> Astro</t>
  </si>
  <si>
    <t xml:space="preserve"> Venture LS</t>
  </si>
  <si>
    <t xml:space="preserve"> Corvette 2dr</t>
  </si>
  <si>
    <t xml:space="preserve"> Corvette convertible 2dr</t>
  </si>
  <si>
    <t xml:space="preserve"> Avalanche 1500</t>
  </si>
  <si>
    <t xml:space="preserve"> Colorado Z85</t>
  </si>
  <si>
    <t xml:space="preserve"> Silverado 1500 Regular Cab</t>
  </si>
  <si>
    <t xml:space="preserve"> Silverado SS</t>
  </si>
  <si>
    <t xml:space="preserve"> SSR</t>
  </si>
  <si>
    <t xml:space="preserve"> Malibu Maxx LS</t>
  </si>
  <si>
    <t>Chrysler</t>
  </si>
  <si>
    <t xml:space="preserve"> PT Cruiser 4dr</t>
  </si>
  <si>
    <t xml:space="preserve"> PT Cruiser Limited 4dr</t>
  </si>
  <si>
    <t xml:space="preserve"> Sebring 4dr</t>
  </si>
  <si>
    <t xml:space="preserve"> Sebring Touring 4dr</t>
  </si>
  <si>
    <t xml:space="preserve"> 300M 4dr</t>
  </si>
  <si>
    <t xml:space="preserve"> Concorde LX 4dr</t>
  </si>
  <si>
    <t xml:space="preserve"> Concorde LXi 4dr</t>
  </si>
  <si>
    <t xml:space="preserve"> PT Cruiser GT 4dr</t>
  </si>
  <si>
    <t xml:space="preserve"> Sebring convertible 2dr</t>
  </si>
  <si>
    <t xml:space="preserve"> 300M Special Edition 4dr</t>
  </si>
  <si>
    <t xml:space="preserve"> Sebring Limited convertible 2dr</t>
  </si>
  <si>
    <t xml:space="preserve"> Town and Country LX</t>
  </si>
  <si>
    <t xml:space="preserve"> Town and Country Limited</t>
  </si>
  <si>
    <t xml:space="preserve"> Crossfire 2dr</t>
  </si>
  <si>
    <t xml:space="preserve"> Pacifica</t>
  </si>
  <si>
    <t>Dodge</t>
  </si>
  <si>
    <t xml:space="preserve"> Durango SLT</t>
  </si>
  <si>
    <t xml:space="preserve"> Neon SE 4dr</t>
  </si>
  <si>
    <t xml:space="preserve"> Neon SXT 4dr</t>
  </si>
  <si>
    <t xml:space="preserve"> Intrepid SE 4dr</t>
  </si>
  <si>
    <t xml:space="preserve"> Stratus SXT 4dr</t>
  </si>
  <si>
    <t xml:space="preserve"> Stratus SE 4dr</t>
  </si>
  <si>
    <t xml:space="preserve"> Intrepid ES 4dr</t>
  </si>
  <si>
    <t xml:space="preserve"> Caravan SE</t>
  </si>
  <si>
    <t xml:space="preserve"> Grand Caravan SXT</t>
  </si>
  <si>
    <t xml:space="preserve"> Viper SRT-10 convertible 2dr</t>
  </si>
  <si>
    <t xml:space="preserve"> Dakota Regular Cab</t>
  </si>
  <si>
    <t xml:space="preserve"> Dakota Club Cab</t>
  </si>
  <si>
    <t xml:space="preserve"> Ram 1500 Regular Cab ST</t>
  </si>
  <si>
    <t>Ford</t>
  </si>
  <si>
    <t xml:space="preserve"> Excursion 6.8 XLT</t>
  </si>
  <si>
    <t xml:space="preserve"> Expedition 4.6 XLT</t>
  </si>
  <si>
    <t xml:space="preserve"> Explorer XLT V6</t>
  </si>
  <si>
    <t xml:space="preserve"> Escape XLS</t>
  </si>
  <si>
    <t xml:space="preserve"> Focus ZX3 2dr hatch</t>
  </si>
  <si>
    <t xml:space="preserve"> Focus LX 4dr</t>
  </si>
  <si>
    <t xml:space="preserve"> Focus SE 4dr</t>
  </si>
  <si>
    <t xml:space="preserve"> Focus ZX5 5dr</t>
  </si>
  <si>
    <t xml:space="preserve"> Focus SVT 2dr</t>
  </si>
  <si>
    <t xml:space="preserve"> Taurus LX 4dr</t>
  </si>
  <si>
    <t xml:space="preserve"> Taurus SES Duratec 4dr</t>
  </si>
  <si>
    <t xml:space="preserve"> Crown Victoria 4dr</t>
  </si>
  <si>
    <t xml:space="preserve"> Crown Victoria LX 4dr</t>
  </si>
  <si>
    <t xml:space="preserve"> Crown Victoria LX Sport 4dr</t>
  </si>
  <si>
    <t xml:space="preserve"> Freestar SE</t>
  </si>
  <si>
    <t xml:space="preserve"> Mustang 2dr (convertible)</t>
  </si>
  <si>
    <t xml:space="preserve"> Mustang GT Premium convertible 2dr</t>
  </si>
  <si>
    <t xml:space="preserve"> Thunderbird Deluxe convert w/hardtop 2d</t>
  </si>
  <si>
    <t xml:space="preserve"> F-150 Regular Cab XL</t>
  </si>
  <si>
    <t xml:space="preserve"> F-150 Supercab Lariat</t>
  </si>
  <si>
    <t xml:space="preserve"> Ranger 2.3 XL Regular Cab</t>
  </si>
  <si>
    <t xml:space="preserve"> Focus ZTW</t>
  </si>
  <si>
    <t xml:space="preserve"> Taurus SE</t>
  </si>
  <si>
    <t>GMC</t>
  </si>
  <si>
    <t xml:space="preserve"> Envoy XUV SLE</t>
  </si>
  <si>
    <t xml:space="preserve"> Yukon 1500 SLE</t>
  </si>
  <si>
    <t xml:space="preserve"> Yukon XL 2500 SLT</t>
  </si>
  <si>
    <t xml:space="preserve"> Safari SLE</t>
  </si>
  <si>
    <t xml:space="preserve"> Canyon Z85 SL Regular Cab</t>
  </si>
  <si>
    <t xml:space="preserve"> Sierra Extended Cab 1500</t>
  </si>
  <si>
    <t xml:space="preserve"> Sierra HD 2500</t>
  </si>
  <si>
    <t xml:space="preserve"> Sonoma Crew Cab</t>
  </si>
  <si>
    <t>Honda</t>
  </si>
  <si>
    <t xml:space="preserve"> Civic Hybrid 4dr manual (gas/electric)</t>
  </si>
  <si>
    <t>Hybrid</t>
  </si>
  <si>
    <t xml:space="preserve"> Insight 2dr (gas/electric)</t>
  </si>
  <si>
    <t xml:space="preserve"> Pilot LX</t>
  </si>
  <si>
    <t xml:space="preserve"> CR-V LX</t>
  </si>
  <si>
    <t xml:space="preserve"> Element LX</t>
  </si>
  <si>
    <t xml:space="preserve"> Civic DX 2dr</t>
  </si>
  <si>
    <t xml:space="preserve"> Civic HX 2dr</t>
  </si>
  <si>
    <t xml:space="preserve"> Civic LX 4dr</t>
  </si>
  <si>
    <t xml:space="preserve"> Accord LX 2dr</t>
  </si>
  <si>
    <t xml:space="preserve"> Accord EX 2dr</t>
  </si>
  <si>
    <t xml:space="preserve"> Civic EX 4dr</t>
  </si>
  <si>
    <t xml:space="preserve"> Civic Si 2dr hatch</t>
  </si>
  <si>
    <t xml:space="preserve"> Accord LX V6 4dr</t>
  </si>
  <si>
    <t xml:space="preserve"> Accord EX V6 2dr</t>
  </si>
  <si>
    <t xml:space="preserve"> Odyssey LX</t>
  </si>
  <si>
    <t xml:space="preserve"> Odyssey EX</t>
  </si>
  <si>
    <t xml:space="preserve"> S2000 convertible 2dr</t>
  </si>
  <si>
    <t>Hummer</t>
  </si>
  <si>
    <t xml:space="preserve"> H2</t>
  </si>
  <si>
    <t>Hyundai</t>
  </si>
  <si>
    <t xml:space="preserve"> Santa Fe GLS</t>
  </si>
  <si>
    <t xml:space="preserve"> Accent 2dr hatch</t>
  </si>
  <si>
    <t xml:space="preserve"> Accent GL 4dr</t>
  </si>
  <si>
    <t xml:space="preserve"> Accent GT 2dr hatch</t>
  </si>
  <si>
    <t xml:space="preserve"> Elantra GLS 4dr</t>
  </si>
  <si>
    <t xml:space="preserve"> Elantra GT 4dr</t>
  </si>
  <si>
    <t xml:space="preserve"> Elantra GT 4dr hatch</t>
  </si>
  <si>
    <t xml:space="preserve"> Sonata GLS 4dr</t>
  </si>
  <si>
    <t xml:space="preserve"> Sonata LX 4dr</t>
  </si>
  <si>
    <t xml:space="preserve"> XG350 4dr</t>
  </si>
  <si>
    <t xml:space="preserve"> XG350 L 4dr</t>
  </si>
  <si>
    <t xml:space="preserve"> Tiburon GT V6 2dr</t>
  </si>
  <si>
    <t>Infiniti</t>
  </si>
  <si>
    <t xml:space="preserve"> G35 4dr</t>
  </si>
  <si>
    <t xml:space="preserve"> G35 Sport Coupe 2dr</t>
  </si>
  <si>
    <t xml:space="preserve"> I35 4dr</t>
  </si>
  <si>
    <t xml:space="preserve"> M45 4dr</t>
  </si>
  <si>
    <t xml:space="preserve"> Q45 Luxury 4dr</t>
  </si>
  <si>
    <t xml:space="preserve"> FX35</t>
  </si>
  <si>
    <t xml:space="preserve"> FX45</t>
  </si>
  <si>
    <t>Isuzu</t>
  </si>
  <si>
    <t xml:space="preserve"> Ascender S</t>
  </si>
  <si>
    <t xml:space="preserve"> Rodeo S</t>
  </si>
  <si>
    <t>Jaguar</t>
  </si>
  <si>
    <t xml:space="preserve"> X-Type 2.5 4dr</t>
  </si>
  <si>
    <t xml:space="preserve"> X-Type 3.0 4dr</t>
  </si>
  <si>
    <t xml:space="preserve"> S-Type 3.0 4dr</t>
  </si>
  <si>
    <t xml:space="preserve"> S-Type 4.2 4dr</t>
  </si>
  <si>
    <t xml:space="preserve"> S-Type R 4dr</t>
  </si>
  <si>
    <t xml:space="preserve"> Vanden Plas 4dr</t>
  </si>
  <si>
    <t xml:space="preserve"> XJ8 4dr</t>
  </si>
  <si>
    <t xml:space="preserve"> XJR 4dr</t>
  </si>
  <si>
    <t xml:space="preserve"> XK8 coupe 2dr</t>
  </si>
  <si>
    <t xml:space="preserve"> XK8 convertible 2dr</t>
  </si>
  <si>
    <t xml:space="preserve"> XKR coupe 2dr</t>
  </si>
  <si>
    <t xml:space="preserve"> XKR convertible 2dr</t>
  </si>
  <si>
    <t>Jeep</t>
  </si>
  <si>
    <t xml:space="preserve"> Grand Cherokee Laredo</t>
  </si>
  <si>
    <t xml:space="preserve"> Liberty Sport</t>
  </si>
  <si>
    <t xml:space="preserve"> Wrangler Sahara convertible 2dr</t>
  </si>
  <si>
    <t>Kia</t>
  </si>
  <si>
    <t xml:space="preserve"> Sorento LX</t>
  </si>
  <si>
    <t xml:space="preserve"> Optima LX 4dr</t>
  </si>
  <si>
    <t xml:space="preserve"> Rio 4dr manual</t>
  </si>
  <si>
    <t xml:space="preserve"> Rio 4dr auto</t>
  </si>
  <si>
    <t xml:space="preserve"> Spectra 4dr</t>
  </si>
  <si>
    <t xml:space="preserve"> Spectra GS 4dr hatch</t>
  </si>
  <si>
    <t xml:space="preserve"> Spectra GSX 4dr hatch</t>
  </si>
  <si>
    <t xml:space="preserve"> Optima LX V6 4dr</t>
  </si>
  <si>
    <t xml:space="preserve"> Amanti 4dr</t>
  </si>
  <si>
    <t xml:space="preserve"> Sedona LX</t>
  </si>
  <si>
    <t xml:space="preserve"> Rio Cinco</t>
  </si>
  <si>
    <t>Land Rover</t>
  </si>
  <si>
    <t xml:space="preserve"> Range Rover HSE</t>
  </si>
  <si>
    <t xml:space="preserve"> Discovery SE</t>
  </si>
  <si>
    <t xml:space="preserve"> Freelander SE</t>
  </si>
  <si>
    <t>Lexus</t>
  </si>
  <si>
    <t xml:space="preserve"> GX 470</t>
  </si>
  <si>
    <t xml:space="preserve"> LX 470</t>
  </si>
  <si>
    <t xml:space="preserve"> RX 330</t>
  </si>
  <si>
    <t xml:space="preserve"> ES 330 4dr</t>
  </si>
  <si>
    <t xml:space="preserve"> IS 300 4dr manual</t>
  </si>
  <si>
    <t xml:space="preserve"> IS 300 4dr auto</t>
  </si>
  <si>
    <t xml:space="preserve"> GS 300 4dr</t>
  </si>
  <si>
    <t xml:space="preserve"> GS 430 4dr</t>
  </si>
  <si>
    <t xml:space="preserve"> LS 430 4dr</t>
  </si>
  <si>
    <t xml:space="preserve"> SC 430 convertible 2dr</t>
  </si>
  <si>
    <t xml:space="preserve"> IS 300 SportCross</t>
  </si>
  <si>
    <t>Lincoln</t>
  </si>
  <si>
    <t xml:space="preserve"> Navigator Luxury</t>
  </si>
  <si>
    <t xml:space="preserve"> Aviator Ultimate</t>
  </si>
  <si>
    <t xml:space="preserve"> LS V6 Luxury 4dr</t>
  </si>
  <si>
    <t xml:space="preserve"> LS V6 Premium 4dr</t>
  </si>
  <si>
    <t xml:space="preserve"> LS V8 Sport 4dr</t>
  </si>
  <si>
    <t xml:space="preserve"> LS V8 Ultimate 4dr</t>
  </si>
  <si>
    <t xml:space="preserve"> Town Car Signature 4dr</t>
  </si>
  <si>
    <t xml:space="preserve"> Town Car Ultimate 4dr</t>
  </si>
  <si>
    <t xml:space="preserve"> Town Car Ultimate L 4dr</t>
  </si>
  <si>
    <t>MINI</t>
  </si>
  <si>
    <t xml:space="preserve"> Cooper</t>
  </si>
  <si>
    <t xml:space="preserve"> Cooper S</t>
  </si>
  <si>
    <t>Mazda</t>
  </si>
  <si>
    <t xml:space="preserve"> Tribute DX 2.0</t>
  </si>
  <si>
    <t xml:space="preserve"> Mazda3 i 4dr</t>
  </si>
  <si>
    <t xml:space="preserve"> Mazda3 s 4dr</t>
  </si>
  <si>
    <t xml:space="preserve"> Mazda6 i 4dr</t>
  </si>
  <si>
    <t xml:space="preserve"> MPV ES</t>
  </si>
  <si>
    <t xml:space="preserve"> MX-5 Miata convertible 2dr</t>
  </si>
  <si>
    <t xml:space="preserve"> MX-5 Miata LS convertible 2dr</t>
  </si>
  <si>
    <t xml:space="preserve"> RX-8 4dr automatic</t>
  </si>
  <si>
    <t xml:space="preserve"> RX-8 4dr manual</t>
  </si>
  <si>
    <t xml:space="preserve"> B2300 SX Regular Cab</t>
  </si>
  <si>
    <t xml:space="preserve"> B4000 SE Cab Plus</t>
  </si>
  <si>
    <t>Mercedes-Benz</t>
  </si>
  <si>
    <t xml:space="preserve"> G500</t>
  </si>
  <si>
    <t xml:space="preserve"> ML500</t>
  </si>
  <si>
    <t xml:space="preserve"> C230 Sport 2dr</t>
  </si>
  <si>
    <t xml:space="preserve"> C320 Sport 2dr</t>
  </si>
  <si>
    <t xml:space="preserve"> C240 4dr</t>
  </si>
  <si>
    <t xml:space="preserve"> C320 Sport 4dr</t>
  </si>
  <si>
    <t xml:space="preserve"> C320 4dr</t>
  </si>
  <si>
    <t xml:space="preserve"> C32 AMG 4dr</t>
  </si>
  <si>
    <t xml:space="preserve"> CL500 2dr</t>
  </si>
  <si>
    <t xml:space="preserve"> CL600 2dr</t>
  </si>
  <si>
    <t xml:space="preserve"> CLK320 coupe 2dr (convertible)</t>
  </si>
  <si>
    <t xml:space="preserve"> CLK500 coupe 2dr (convertible)</t>
  </si>
  <si>
    <t xml:space="preserve"> E320 4dr</t>
  </si>
  <si>
    <t xml:space="preserve"> E500 4dr</t>
  </si>
  <si>
    <t xml:space="preserve"> S430 4dr</t>
  </si>
  <si>
    <t xml:space="preserve"> S500 4dr</t>
  </si>
  <si>
    <t xml:space="preserve"> SL500 convertible 2dr</t>
  </si>
  <si>
    <t xml:space="preserve"> SL55 AMG 2dr</t>
  </si>
  <si>
    <t xml:space="preserve"> SL600 convertible 2dr</t>
  </si>
  <si>
    <t xml:space="preserve"> SLK230 convertible 2dr</t>
  </si>
  <si>
    <t xml:space="preserve"> SLK32 AMG 2dr</t>
  </si>
  <si>
    <t xml:space="preserve"> C240</t>
  </si>
  <si>
    <t xml:space="preserve"> E320</t>
  </si>
  <si>
    <t xml:space="preserve"> E500</t>
  </si>
  <si>
    <t>Mercury</t>
  </si>
  <si>
    <t xml:space="preserve"> Mountaineer</t>
  </si>
  <si>
    <t xml:space="preserve"> Sable GS 4dr</t>
  </si>
  <si>
    <t xml:space="preserve"> Grand Marquis GS 4dr</t>
  </si>
  <si>
    <t xml:space="preserve"> Grand Marquis LS Premium 4dr</t>
  </si>
  <si>
    <t xml:space="preserve"> Sable LS Premium 4dr</t>
  </si>
  <si>
    <t xml:space="preserve"> Grand Marquis LS Ultimate 4dr</t>
  </si>
  <si>
    <t xml:space="preserve"> Marauder 4dr</t>
  </si>
  <si>
    <t xml:space="preserve"> Monterey Luxury</t>
  </si>
  <si>
    <t xml:space="preserve"> Sable GS</t>
  </si>
  <si>
    <t>Mitsubishi</t>
  </si>
  <si>
    <t xml:space="preserve"> Endeavor XLS</t>
  </si>
  <si>
    <t xml:space="preserve"> Montero XLS</t>
  </si>
  <si>
    <t xml:space="preserve"> Outlander LS</t>
  </si>
  <si>
    <t xml:space="preserve"> Lancer ES 4dr</t>
  </si>
  <si>
    <t xml:space="preserve"> Lancer LS 4dr</t>
  </si>
  <si>
    <t xml:space="preserve"> Galant ES 2.4L 4dr</t>
  </si>
  <si>
    <t xml:space="preserve"> Lancer OZ Rally 4dr auto</t>
  </si>
  <si>
    <t xml:space="preserve"> Diamante LS 4dr</t>
  </si>
  <si>
    <t xml:space="preserve"> Galant GTS 4dr</t>
  </si>
  <si>
    <t xml:space="preserve"> Eclipse GTS 2dr</t>
  </si>
  <si>
    <t xml:space="preserve"> Eclipse Spyder GT convertible 2dr</t>
  </si>
  <si>
    <t xml:space="preserve"> Lancer Evolution 4dr</t>
  </si>
  <si>
    <t xml:space="preserve"> Lancer Sportback LS</t>
  </si>
  <si>
    <t>Nissan</t>
  </si>
  <si>
    <t xml:space="preserve"> Pathfinder Armada SE</t>
  </si>
  <si>
    <t xml:space="preserve"> Pathfinder SE</t>
  </si>
  <si>
    <t xml:space="preserve"> Xterra XE V6</t>
  </si>
  <si>
    <t xml:space="preserve"> Sentra 1.8 4dr</t>
  </si>
  <si>
    <t xml:space="preserve"> Sentra 1.8 S 4dr</t>
  </si>
  <si>
    <t xml:space="preserve"> Altima S 4dr</t>
  </si>
  <si>
    <t xml:space="preserve"> Sentra SE-R 4dr</t>
  </si>
  <si>
    <t xml:space="preserve"> Altima SE 4dr</t>
  </si>
  <si>
    <t xml:space="preserve"> Maxima SE 4dr</t>
  </si>
  <si>
    <t xml:space="preserve"> Maxima SL 4dr</t>
  </si>
  <si>
    <t xml:space="preserve"> Quest S</t>
  </si>
  <si>
    <t xml:space="preserve"> Quest SE</t>
  </si>
  <si>
    <t xml:space="preserve"> 350Z coupe 2dr</t>
  </si>
  <si>
    <t xml:space="preserve"> 350Z Enthusiast convertible 2dr</t>
  </si>
  <si>
    <t xml:space="preserve"> Frontier King Cab XE V6</t>
  </si>
  <si>
    <t xml:space="preserve"> Titan King Cab XE</t>
  </si>
  <si>
    <t xml:space="preserve"> Murano SL</t>
  </si>
  <si>
    <t>Oldsmobile</t>
  </si>
  <si>
    <t xml:space="preserve"> Alero GX 2dr</t>
  </si>
  <si>
    <t xml:space="preserve"> Alero GLS 2dr</t>
  </si>
  <si>
    <t xml:space="preserve"> Silhouette GL</t>
  </si>
  <si>
    <t>Pontiac</t>
  </si>
  <si>
    <t xml:space="preserve"> Aztekt</t>
  </si>
  <si>
    <t xml:space="preserve"> Sunfire 1SA 2dr</t>
  </si>
  <si>
    <t xml:space="preserve"> Grand Am GT 2dr</t>
  </si>
  <si>
    <t xml:space="preserve"> Grand Prix GT1 4dr</t>
  </si>
  <si>
    <t xml:space="preserve"> Sunfire 1SC 2dr</t>
  </si>
  <si>
    <t xml:space="preserve"> Grand Prix GT2 4dr</t>
  </si>
  <si>
    <t xml:space="preserve"> Bonneville GXP 4dr</t>
  </si>
  <si>
    <t xml:space="preserve"> Montana</t>
  </si>
  <si>
    <t xml:space="preserve"> Montana EWB</t>
  </si>
  <si>
    <t xml:space="preserve"> GTO 2dr</t>
  </si>
  <si>
    <t xml:space="preserve"> Vibe</t>
  </si>
  <si>
    <t>Porsche</t>
  </si>
  <si>
    <t xml:space="preserve"> Cayenne S</t>
  </si>
  <si>
    <t xml:space="preserve"> 911 Carrera convertible 2dr (coupe)</t>
  </si>
  <si>
    <t xml:space="preserve"> 911 Carrera 4S coupe 2dr (convert)</t>
  </si>
  <si>
    <t xml:space="preserve"> 911 Targa coupe 2dr</t>
  </si>
  <si>
    <t xml:space="preserve"> 911 GT2 2dr</t>
  </si>
  <si>
    <t xml:space="preserve"> Boxster convertible 2dr</t>
  </si>
  <si>
    <t xml:space="preserve"> Boxster S convertible 2dr</t>
  </si>
  <si>
    <t>Saab</t>
  </si>
  <si>
    <t xml:space="preserve"> 9-3 Arc Sport 4dr</t>
  </si>
  <si>
    <t xml:space="preserve"> 9-3 Aero 4dr</t>
  </si>
  <si>
    <t xml:space="preserve"> 9-5 Arc 4dr</t>
  </si>
  <si>
    <t xml:space="preserve"> 9-5 Aero 4dr</t>
  </si>
  <si>
    <t xml:space="preserve"> 9-3 Arc convertible 2dr</t>
  </si>
  <si>
    <t xml:space="preserve"> 9-3 Aero convertible 2dr</t>
  </si>
  <si>
    <t xml:space="preserve"> 9-5 Aero</t>
  </si>
  <si>
    <t>Saturn</t>
  </si>
  <si>
    <t xml:space="preserve"> VUE</t>
  </si>
  <si>
    <t xml:space="preserve"> Ion1 4dr</t>
  </si>
  <si>
    <t xml:space="preserve"> lon2 4dr</t>
  </si>
  <si>
    <t xml:space="preserve"> lon3 4dr</t>
  </si>
  <si>
    <t xml:space="preserve"> lon2 quad coupe 2dr</t>
  </si>
  <si>
    <t xml:space="preserve"> lon3 quad coupe 2dr</t>
  </si>
  <si>
    <t xml:space="preserve"> L300-2 4dr</t>
  </si>
  <si>
    <t xml:space="preserve"> L300 2</t>
  </si>
  <si>
    <t>Scion</t>
  </si>
  <si>
    <t xml:space="preserve"> xA 4dr hatch</t>
  </si>
  <si>
    <t xml:space="preserve"> xB</t>
  </si>
  <si>
    <t>Subaru</t>
  </si>
  <si>
    <t xml:space="preserve"> Impreza 2.5 RS 4dr</t>
  </si>
  <si>
    <t xml:space="preserve"> Legacy L 4dr</t>
  </si>
  <si>
    <t xml:space="preserve"> Legacy GT 4dr</t>
  </si>
  <si>
    <t xml:space="preserve"> Outback Limited Sedan 4dr</t>
  </si>
  <si>
    <t xml:space="preserve"> Outback H6 4dr</t>
  </si>
  <si>
    <t xml:space="preserve"> Outback H-6 VDC 4dr</t>
  </si>
  <si>
    <t xml:space="preserve"> Impreza WRX 4dr</t>
  </si>
  <si>
    <t xml:space="preserve"> Impreza WRX STi 4dr</t>
  </si>
  <si>
    <t xml:space="preserve"> Baja</t>
  </si>
  <si>
    <t xml:space="preserve"> Forester X</t>
  </si>
  <si>
    <t xml:space="preserve"> Outback</t>
  </si>
  <si>
    <t>Suzuki</t>
  </si>
  <si>
    <t xml:space="preserve"> XL-7 EX</t>
  </si>
  <si>
    <t xml:space="preserve"> Vitara LX</t>
  </si>
  <si>
    <t xml:space="preserve"> Aeno S 4dr</t>
  </si>
  <si>
    <t xml:space="preserve"> Aerio LX 4dr</t>
  </si>
  <si>
    <t xml:space="preserve"> Forenza S 4dr</t>
  </si>
  <si>
    <t xml:space="preserve"> Forenza EX 4dr</t>
  </si>
  <si>
    <t xml:space="preserve"> Verona LX 4dr</t>
  </si>
  <si>
    <t xml:space="preserve"> Aerio SX</t>
  </si>
  <si>
    <t>Toyota</t>
  </si>
  <si>
    <t xml:space="preserve"> Prius 4dr (gas/electric)</t>
  </si>
  <si>
    <t xml:space="preserve"> Sequoia SR5</t>
  </si>
  <si>
    <t xml:space="preserve"> 4Runner SR5 V6</t>
  </si>
  <si>
    <t xml:space="preserve"> Highlander V6</t>
  </si>
  <si>
    <t xml:space="preserve"> Land Cruiser</t>
  </si>
  <si>
    <t xml:space="preserve"> RAV4</t>
  </si>
  <si>
    <t xml:space="preserve"> Corolla CE 4dr</t>
  </si>
  <si>
    <t xml:space="preserve"> Corolla S 4dr</t>
  </si>
  <si>
    <t xml:space="preserve"> Corolla LE 4dr</t>
  </si>
  <si>
    <t xml:space="preserve"> Echo 2dr manual</t>
  </si>
  <si>
    <t xml:space="preserve"> Echo 2dr auto</t>
  </si>
  <si>
    <t xml:space="preserve"> Echo 4dr</t>
  </si>
  <si>
    <t xml:space="preserve"> Camry LE 4dr</t>
  </si>
  <si>
    <t xml:space="preserve"> Camry LE V6 4dr</t>
  </si>
  <si>
    <t xml:space="preserve"> Camry Solara SE 2dr</t>
  </si>
  <si>
    <t xml:space="preserve"> Camry Solara SE V6 2dr</t>
  </si>
  <si>
    <t xml:space="preserve"> Avalon XL 4dr</t>
  </si>
  <si>
    <t xml:space="preserve"> Camry XLE V6 4dr</t>
  </si>
  <si>
    <t xml:space="preserve"> Camry Solara SLE V6 2dr</t>
  </si>
  <si>
    <t xml:space="preserve"> Avalon XLS 4dr</t>
  </si>
  <si>
    <t xml:space="preserve"> Sienna CE</t>
  </si>
  <si>
    <t xml:space="preserve"> Sienna XLE Limited</t>
  </si>
  <si>
    <t xml:space="preserve"> Celica GT-S 2dr</t>
  </si>
  <si>
    <t xml:space="preserve"> MR2 Spyder convertible 2dr</t>
  </si>
  <si>
    <t xml:space="preserve"> Tacoma</t>
  </si>
  <si>
    <t xml:space="preserve"> Tundra Regular Cab V6</t>
  </si>
  <si>
    <t xml:space="preserve"> Tundra Access Cab V6 SR5</t>
  </si>
  <si>
    <t xml:space="preserve"> Matrix XR</t>
  </si>
  <si>
    <t>Volkswagen</t>
  </si>
  <si>
    <t xml:space="preserve"> Touareg V6</t>
  </si>
  <si>
    <t xml:space="preserve"> Golf GLS 4dr</t>
  </si>
  <si>
    <t xml:space="preserve"> GTI 1.8T 2dr hatch</t>
  </si>
  <si>
    <t xml:space="preserve"> Jetta GLS TDI 4dr</t>
  </si>
  <si>
    <t xml:space="preserve"> New Beetle GLS 1.8T 2dr</t>
  </si>
  <si>
    <t xml:space="preserve"> Jetta GLI VR6 4dr</t>
  </si>
  <si>
    <t xml:space="preserve"> New Beetle GLS convertible 2dr</t>
  </si>
  <si>
    <t xml:space="preserve"> Passat GLS 4dr</t>
  </si>
  <si>
    <t xml:space="preserve"> Passat GLX V6 4MOTION 4dr</t>
  </si>
  <si>
    <t xml:space="preserve"> Passat W8 4MOTION 4dr</t>
  </si>
  <si>
    <t xml:space="preserve"> Phaeton 4dr</t>
  </si>
  <si>
    <t xml:space="preserve"> Phaeton W12 4dr</t>
  </si>
  <si>
    <t xml:space="preserve"> Jetta GL</t>
  </si>
  <si>
    <t xml:space="preserve"> Passat GLS 1.8T</t>
  </si>
  <si>
    <t xml:space="preserve"> Passat W8</t>
  </si>
  <si>
    <t>Volvo</t>
  </si>
  <si>
    <t xml:space="preserve"> XC90 T6</t>
  </si>
  <si>
    <t xml:space="preserve"> S40 4dr</t>
  </si>
  <si>
    <t xml:space="preserve"> S60 2.5 4dr</t>
  </si>
  <si>
    <t xml:space="preserve"> S60 T5 4dr</t>
  </si>
  <si>
    <t xml:space="preserve"> S60 R 4dr</t>
  </si>
  <si>
    <t xml:space="preserve"> S80 2.9 4dr</t>
  </si>
  <si>
    <t xml:space="preserve"> S80 2.5T 4dr</t>
  </si>
  <si>
    <t xml:space="preserve"> C70 LPT convertible 2dr</t>
  </si>
  <si>
    <t xml:space="preserve"> C70 HPT convertible 2dr</t>
  </si>
  <si>
    <t xml:space="preserve"> S80 T6 4dr</t>
  </si>
  <si>
    <t xml:space="preserve"> V40</t>
  </si>
  <si>
    <t xml:space="preserve"> XC70</t>
  </si>
  <si>
    <t>Aritmetik Ortalama</t>
  </si>
  <si>
    <t>Geometrik Ortalama</t>
  </si>
  <si>
    <t>Harmonik Ortalama</t>
  </si>
  <si>
    <t>Ortanca (Medyan)</t>
  </si>
  <si>
    <t>Tepe Değeri (Mod)</t>
  </si>
  <si>
    <t>Çeyreklik(Q1)</t>
  </si>
  <si>
    <t>Çeyreklik(Q3)</t>
  </si>
  <si>
    <t>Yüzdelik (%10)</t>
  </si>
  <si>
    <t>Minimum Değer</t>
  </si>
  <si>
    <t>Maksimum Değer</t>
  </si>
  <si>
    <t>Dağılım Genişliği</t>
  </si>
  <si>
    <t>Çeyreklikler Arası Genişlik</t>
  </si>
  <si>
    <t>Varyans</t>
  </si>
  <si>
    <t>Standart Sapma</t>
  </si>
  <si>
    <t>Değişim Katsayısı</t>
  </si>
  <si>
    <t>Çarpıklık</t>
  </si>
  <si>
    <t>Basıklık</t>
  </si>
  <si>
    <t>Üst</t>
  </si>
  <si>
    <t>Alt</t>
  </si>
  <si>
    <t>Box-Plot (Tukey) Yöntemi</t>
  </si>
  <si>
    <t>Sturges Formülü</t>
  </si>
  <si>
    <t>Korelasyon</t>
  </si>
  <si>
    <t>Motor Hacmi - Ağırlık Korelasyonu</t>
  </si>
  <si>
    <t>Kovaryans</t>
  </si>
  <si>
    <t>Cekis_tip</t>
  </si>
  <si>
    <t>Tavsiye_fiyat</t>
  </si>
  <si>
    <t>Motor_hacmi</t>
  </si>
  <si>
    <t>Silindir_sayı</t>
  </si>
  <si>
    <t>Beygir_gucu</t>
  </si>
  <si>
    <t>Sehir_ici</t>
  </si>
  <si>
    <t>Sehir_disi</t>
  </si>
  <si>
    <t>Dingil_aciklik</t>
  </si>
  <si>
    <t>k1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</si>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</sst>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</font>
    <font>
      <b/>
      <sz val="11"/>
      <name val="Calibri"/>
      <family val="2"/>
      <charset val="162"/>
    </font>
    <font>
      <sz val="11"/>
      <color rgb="FFFF0000"/>
      <name val="Calibri"/>
      <family val="2"/>
      <charset val="162"/>
    </font>
    <font>
      <sz val="11"/>
      <name val="Calibri"/>
      <family val="2"/>
      <charset val="162"/>
    </font>
    <font>
      <b/>
      <sz val="9"/>
      <color indexed="8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NumberFormat="1" applyBorder="1"/>
    <xf numFmtId="164" fontId="0" fillId="0" borderId="1" xfId="0" applyNumberFormat="1" applyBorder="1"/>
    <xf numFmtId="0" fontId="0" fillId="0" borderId="2" xfId="0" applyNumberFormat="1" applyBorder="1"/>
    <xf numFmtId="0" fontId="0" fillId="3" borderId="0" xfId="0" applyFill="1"/>
    <xf numFmtId="0" fontId="0" fillId="3" borderId="0" xfId="0" applyNumberFormat="1" applyFill="1"/>
    <xf numFmtId="164" fontId="0" fillId="0" borderId="0" xfId="0" applyNumberFormat="1"/>
    <xf numFmtId="164" fontId="2" fillId="0" borderId="0" xfId="0" applyNumberFormat="1" applyFont="1"/>
    <xf numFmtId="0" fontId="3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3" fillId="5" borderId="0" xfId="0" applyFont="1" applyFill="1"/>
    <xf numFmtId="0" fontId="0" fillId="5" borderId="0" xfId="0" applyFill="1"/>
    <xf numFmtId="164" fontId="0" fillId="5" borderId="0" xfId="0" applyNumberFormat="1" applyFill="1"/>
    <xf numFmtId="0" fontId="3" fillId="6" borderId="0" xfId="0" applyFont="1" applyFill="1"/>
    <xf numFmtId="0" fontId="0" fillId="6" borderId="0" xfId="0" applyFill="1"/>
    <xf numFmtId="164" fontId="0" fillId="6" borderId="0" xfId="0" applyNumberFormat="1" applyFill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3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3" fillId="6" borderId="0" xfId="0" applyFont="1" applyFill="1" applyAlignment="1">
      <alignment horizontal="right"/>
    </xf>
    <xf numFmtId="0" fontId="0" fillId="6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466"/>
  <sheetViews>
    <sheetView tabSelected="1" workbookViewId="0">
      <pane ySplit="1" topLeftCell="A413" activePane="bottomLeft" state="frozen"/>
      <selection pane="bottomLeft" activeCell="P415" sqref="P415"/>
    </sheetView>
  </sheetViews>
  <sheetFormatPr defaultRowHeight="15" x14ac:dyDescent="0.2"/>
  <cols>
    <col min="1" max="1" width="9.4140625" customWidth="1"/>
    <col min="2" max="2" width="13.046875" customWidth="1"/>
    <col min="3" max="3" width="7.12890625" bestFit="1" customWidth="1"/>
    <col min="4" max="4" width="8.609375" customWidth="1"/>
    <col min="5" max="5" width="25.828125" customWidth="1"/>
    <col min="6" max="6" width="16.54296875" customWidth="1"/>
    <col min="7" max="7" width="8.47265625" customWidth="1"/>
    <col min="8" max="8" width="7.3984375" customWidth="1"/>
    <col min="9" max="9" width="8.33984375" customWidth="1"/>
    <col min="10" max="10" width="7.6640625" customWidth="1"/>
    <col min="11" max="11" width="6.72265625" customWidth="1"/>
    <col min="12" max="12" width="10.0859375" customWidth="1"/>
    <col min="13" max="13" width="6.859375" bestFit="1" customWidth="1"/>
    <col min="14" max="14" width="7.26171875" customWidth="1"/>
    <col min="15" max="15" width="8.33984375" bestFit="1" customWidth="1"/>
  </cols>
  <sheetData>
    <row r="1" spans="1:16" s="3" customFormat="1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508</v>
      </c>
      <c r="F1" s="21" t="s">
        <v>509</v>
      </c>
      <c r="G1" s="1" t="s">
        <v>4</v>
      </c>
      <c r="H1" s="1" t="s">
        <v>510</v>
      </c>
      <c r="I1" s="1" t="s">
        <v>511</v>
      </c>
      <c r="J1" s="1" t="s">
        <v>512</v>
      </c>
      <c r="K1" s="1" t="s">
        <v>513</v>
      </c>
      <c r="L1" s="1" t="s">
        <v>514</v>
      </c>
      <c r="M1" s="1" t="s">
        <v>5</v>
      </c>
      <c r="N1" s="1" t="s">
        <v>515</v>
      </c>
      <c r="O1" s="2" t="s">
        <v>6</v>
      </c>
      <c r="P1" s="3" t="s">
        <v>516</v>
      </c>
    </row>
    <row r="2" spans="1:16" x14ac:dyDescent="0.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36945</v>
      </c>
      <c r="G2" s="5">
        <v>33337</v>
      </c>
      <c r="H2" s="6">
        <v>3.5</v>
      </c>
      <c r="I2" s="5">
        <v>6</v>
      </c>
      <c r="J2" s="5">
        <v>265</v>
      </c>
      <c r="K2" s="5">
        <v>17</v>
      </c>
      <c r="L2" s="5">
        <v>23</v>
      </c>
      <c r="M2" s="5">
        <v>4451</v>
      </c>
      <c r="N2" s="5">
        <v>106</v>
      </c>
      <c r="O2" s="7">
        <v>189</v>
      </c>
      <c r="P2" t="s">
        <v>517</v>
      </c>
    </row>
    <row r="3" spans="1:16" x14ac:dyDescent="0.2">
      <c r="A3" s="4" t="s">
        <v>9</v>
      </c>
      <c r="B3" s="4" t="s">
        <v>14</v>
      </c>
      <c r="C3" s="4" t="s">
        <v>15</v>
      </c>
      <c r="D3" s="4" t="s">
        <v>12</v>
      </c>
      <c r="E3" s="4" t="s">
        <v>16</v>
      </c>
      <c r="F3" s="5">
        <v>23820</v>
      </c>
      <c r="G3" s="5">
        <v>21761</v>
      </c>
      <c r="H3" s="6">
        <v>2</v>
      </c>
      <c r="I3" s="5">
        <v>4</v>
      </c>
      <c r="J3" s="5">
        <v>200</v>
      </c>
      <c r="K3" s="5">
        <v>24</v>
      </c>
      <c r="L3" s="5">
        <v>31</v>
      </c>
      <c r="M3" s="5">
        <v>2778</v>
      </c>
      <c r="N3" s="5">
        <v>101</v>
      </c>
      <c r="O3" s="7">
        <v>172</v>
      </c>
      <c r="P3" t="s">
        <v>518</v>
      </c>
    </row>
    <row r="4" spans="1:16" x14ac:dyDescent="0.2">
      <c r="A4" s="4" t="s">
        <v>9</v>
      </c>
      <c r="B4" s="4" t="s">
        <v>17</v>
      </c>
      <c r="C4" s="4" t="s">
        <v>15</v>
      </c>
      <c r="D4" s="4" t="s">
        <v>12</v>
      </c>
      <c r="E4" s="4" t="s">
        <v>16</v>
      </c>
      <c r="F4" s="5">
        <v>26990</v>
      </c>
      <c r="G4" s="5">
        <v>24647</v>
      </c>
      <c r="H4" s="6">
        <v>2.4</v>
      </c>
      <c r="I4" s="5">
        <v>4</v>
      </c>
      <c r="J4" s="5">
        <v>200</v>
      </c>
      <c r="K4" s="5">
        <v>22</v>
      </c>
      <c r="L4" s="5">
        <v>29</v>
      </c>
      <c r="M4" s="5">
        <v>3230</v>
      </c>
      <c r="N4" s="5">
        <v>105</v>
      </c>
      <c r="O4" s="7">
        <v>183</v>
      </c>
      <c r="P4" t="s">
        <v>519</v>
      </c>
    </row>
    <row r="5" spans="1:16" x14ac:dyDescent="0.2">
      <c r="A5" s="4" t="s">
        <v>9</v>
      </c>
      <c r="B5" s="4" t="s">
        <v>18</v>
      </c>
      <c r="C5" s="4" t="s">
        <v>15</v>
      </c>
      <c r="D5" s="4" t="s">
        <v>12</v>
      </c>
      <c r="E5" s="4" t="s">
        <v>16</v>
      </c>
      <c r="F5" s="5">
        <v>33195</v>
      </c>
      <c r="G5" s="5">
        <v>30299</v>
      </c>
      <c r="H5" s="6">
        <v>3.2</v>
      </c>
      <c r="I5" s="5">
        <v>6</v>
      </c>
      <c r="J5" s="5">
        <v>270</v>
      </c>
      <c r="K5" s="5">
        <v>20</v>
      </c>
      <c r="L5" s="5">
        <v>28</v>
      </c>
      <c r="M5" s="5">
        <v>3575</v>
      </c>
      <c r="N5" s="5">
        <v>108</v>
      </c>
      <c r="O5" s="7">
        <v>186</v>
      </c>
      <c r="P5" t="s">
        <v>520</v>
      </c>
    </row>
    <row r="6" spans="1:16" x14ac:dyDescent="0.2">
      <c r="A6" s="4" t="s">
        <v>9</v>
      </c>
      <c r="B6" s="4" t="s">
        <v>19</v>
      </c>
      <c r="C6" s="4" t="s">
        <v>15</v>
      </c>
      <c r="D6" s="4" t="s">
        <v>12</v>
      </c>
      <c r="E6" s="4" t="s">
        <v>16</v>
      </c>
      <c r="F6" s="5">
        <v>43755</v>
      </c>
      <c r="G6" s="5">
        <v>39014</v>
      </c>
      <c r="H6" s="6">
        <v>3.5</v>
      </c>
      <c r="I6" s="5">
        <v>6</v>
      </c>
      <c r="J6" s="5">
        <v>225</v>
      </c>
      <c r="K6" s="5">
        <v>18</v>
      </c>
      <c r="L6" s="5">
        <v>24</v>
      </c>
      <c r="M6" s="5">
        <v>3880</v>
      </c>
      <c r="N6" s="5">
        <v>115</v>
      </c>
      <c r="O6" s="7">
        <v>197</v>
      </c>
      <c r="P6" t="s">
        <v>519</v>
      </c>
    </row>
    <row r="7" spans="1:16" x14ac:dyDescent="0.2">
      <c r="A7" s="4" t="s">
        <v>9</v>
      </c>
      <c r="B7" s="4" t="s">
        <v>20</v>
      </c>
      <c r="C7" s="4" t="s">
        <v>15</v>
      </c>
      <c r="D7" s="4" t="s">
        <v>12</v>
      </c>
      <c r="E7" s="4" t="s">
        <v>16</v>
      </c>
      <c r="F7" s="5">
        <v>46100</v>
      </c>
      <c r="G7" s="5">
        <v>41100</v>
      </c>
      <c r="H7" s="6">
        <v>3.5</v>
      </c>
      <c r="I7" s="5">
        <v>6</v>
      </c>
      <c r="J7" s="5">
        <v>225</v>
      </c>
      <c r="K7" s="5">
        <v>18</v>
      </c>
      <c r="L7" s="5">
        <v>24</v>
      </c>
      <c r="M7" s="5">
        <v>3893</v>
      </c>
      <c r="N7" s="5">
        <v>115</v>
      </c>
      <c r="O7" s="7">
        <v>197</v>
      </c>
      <c r="P7" t="s">
        <v>518</v>
      </c>
    </row>
    <row r="8" spans="1:16" x14ac:dyDescent="0.2">
      <c r="A8" s="4" t="s">
        <v>9</v>
      </c>
      <c r="B8" s="4" t="s">
        <v>21</v>
      </c>
      <c r="C8" s="4" t="s">
        <v>22</v>
      </c>
      <c r="D8" s="4" t="s">
        <v>12</v>
      </c>
      <c r="E8" s="4" t="s">
        <v>23</v>
      </c>
      <c r="F8" s="5">
        <v>89765</v>
      </c>
      <c r="G8" s="5">
        <v>79978</v>
      </c>
      <c r="H8" s="6">
        <v>3.2</v>
      </c>
      <c r="I8" s="5">
        <v>6</v>
      </c>
      <c r="J8" s="5">
        <v>290</v>
      </c>
      <c r="K8" s="5">
        <v>17</v>
      </c>
      <c r="L8" s="5">
        <v>24</v>
      </c>
      <c r="M8" s="5">
        <v>3153</v>
      </c>
      <c r="N8" s="5">
        <v>100</v>
      </c>
      <c r="O8" s="7">
        <v>174</v>
      </c>
      <c r="P8" t="s">
        <v>517</v>
      </c>
    </row>
    <row r="9" spans="1:16" x14ac:dyDescent="0.2">
      <c r="A9" s="4" t="s">
        <v>24</v>
      </c>
      <c r="B9" s="4" t="s">
        <v>25</v>
      </c>
      <c r="C9" s="4" t="s">
        <v>15</v>
      </c>
      <c r="D9" s="4" t="s">
        <v>26</v>
      </c>
      <c r="E9" s="4" t="s">
        <v>16</v>
      </c>
      <c r="F9" s="5">
        <v>25940</v>
      </c>
      <c r="G9" s="5">
        <v>23508</v>
      </c>
      <c r="H9" s="6">
        <v>1.8</v>
      </c>
      <c r="I9" s="5">
        <v>4</v>
      </c>
      <c r="J9" s="5">
        <v>170</v>
      </c>
      <c r="K9" s="5">
        <v>22</v>
      </c>
      <c r="L9" s="5">
        <v>31</v>
      </c>
      <c r="M9" s="5">
        <v>3252</v>
      </c>
      <c r="N9" s="5">
        <v>104</v>
      </c>
      <c r="O9" s="7">
        <v>179</v>
      </c>
      <c r="P9" t="s">
        <v>518</v>
      </c>
    </row>
    <row r="10" spans="1:16" x14ac:dyDescent="0.2">
      <c r="A10" s="4" t="s">
        <v>24</v>
      </c>
      <c r="B10" s="4" t="s">
        <v>27</v>
      </c>
      <c r="C10" s="4" t="s">
        <v>15</v>
      </c>
      <c r="D10" s="4" t="s">
        <v>26</v>
      </c>
      <c r="E10" s="4" t="s">
        <v>16</v>
      </c>
      <c r="F10" s="5">
        <v>35940</v>
      </c>
      <c r="G10" s="5">
        <v>32506</v>
      </c>
      <c r="H10" s="6">
        <v>1.8</v>
      </c>
      <c r="I10" s="5">
        <v>4</v>
      </c>
      <c r="J10" s="5">
        <v>170</v>
      </c>
      <c r="K10" s="5">
        <v>23</v>
      </c>
      <c r="L10" s="5">
        <v>30</v>
      </c>
      <c r="M10" s="5">
        <v>3638</v>
      </c>
      <c r="N10" s="5">
        <v>105</v>
      </c>
      <c r="O10" s="7">
        <v>180</v>
      </c>
      <c r="P10" t="s">
        <v>519</v>
      </c>
    </row>
    <row r="11" spans="1:16" x14ac:dyDescent="0.2">
      <c r="A11" s="4" t="s">
        <v>24</v>
      </c>
      <c r="B11" s="4" t="s">
        <v>28</v>
      </c>
      <c r="C11" s="4" t="s">
        <v>15</v>
      </c>
      <c r="D11" s="4" t="s">
        <v>26</v>
      </c>
      <c r="E11" s="4" t="s">
        <v>16</v>
      </c>
      <c r="F11" s="5">
        <v>31840</v>
      </c>
      <c r="G11" s="5">
        <v>28846</v>
      </c>
      <c r="H11" s="6">
        <v>3</v>
      </c>
      <c r="I11" s="5">
        <v>6</v>
      </c>
      <c r="J11" s="5">
        <v>220</v>
      </c>
      <c r="K11" s="5">
        <v>20</v>
      </c>
      <c r="L11" s="5">
        <v>28</v>
      </c>
      <c r="M11" s="5">
        <v>3462</v>
      </c>
      <c r="N11" s="5">
        <v>104</v>
      </c>
      <c r="O11" s="7">
        <v>179</v>
      </c>
      <c r="P11" t="s">
        <v>520</v>
      </c>
    </row>
    <row r="12" spans="1:16" x14ac:dyDescent="0.2">
      <c r="A12" s="4" t="s">
        <v>24</v>
      </c>
      <c r="B12" s="4" t="s">
        <v>29</v>
      </c>
      <c r="C12" s="4" t="s">
        <v>15</v>
      </c>
      <c r="D12" s="4" t="s">
        <v>26</v>
      </c>
      <c r="E12" s="4" t="s">
        <v>13</v>
      </c>
      <c r="F12" s="5">
        <v>33430</v>
      </c>
      <c r="G12" s="5">
        <v>30366</v>
      </c>
      <c r="H12" s="6">
        <v>3</v>
      </c>
      <c r="I12" s="5">
        <v>6</v>
      </c>
      <c r="J12" s="5">
        <v>220</v>
      </c>
      <c r="K12" s="5">
        <v>17</v>
      </c>
      <c r="L12" s="5">
        <v>26</v>
      </c>
      <c r="M12" s="5">
        <v>3583</v>
      </c>
      <c r="N12" s="5">
        <v>104</v>
      </c>
      <c r="O12" s="7">
        <v>179</v>
      </c>
      <c r="P12" t="s">
        <v>520</v>
      </c>
    </row>
    <row r="13" spans="1:16" x14ac:dyDescent="0.2">
      <c r="A13" s="4" t="s">
        <v>24</v>
      </c>
      <c r="B13" s="4" t="s">
        <v>30</v>
      </c>
      <c r="C13" s="4" t="s">
        <v>15</v>
      </c>
      <c r="D13" s="4" t="s">
        <v>26</v>
      </c>
      <c r="E13" s="4" t="s">
        <v>13</v>
      </c>
      <c r="F13" s="5">
        <v>34480</v>
      </c>
      <c r="G13" s="5">
        <v>31388</v>
      </c>
      <c r="H13" s="6">
        <v>3</v>
      </c>
      <c r="I13" s="5">
        <v>6</v>
      </c>
      <c r="J13" s="5">
        <v>220</v>
      </c>
      <c r="K13" s="5">
        <v>18</v>
      </c>
      <c r="L13" s="5">
        <v>25</v>
      </c>
      <c r="M13" s="5">
        <v>3627</v>
      </c>
      <c r="N13" s="5">
        <v>104</v>
      </c>
      <c r="O13" s="7">
        <v>179</v>
      </c>
      <c r="P13" t="s">
        <v>519</v>
      </c>
    </row>
    <row r="14" spans="1:16" x14ac:dyDescent="0.2">
      <c r="A14" s="4" t="s">
        <v>24</v>
      </c>
      <c r="B14" s="4" t="s">
        <v>31</v>
      </c>
      <c r="C14" s="4" t="s">
        <v>15</v>
      </c>
      <c r="D14" s="4" t="s">
        <v>26</v>
      </c>
      <c r="E14" s="4" t="s">
        <v>16</v>
      </c>
      <c r="F14" s="5">
        <v>36640</v>
      </c>
      <c r="G14" s="5">
        <v>33129</v>
      </c>
      <c r="H14" s="6">
        <v>3</v>
      </c>
      <c r="I14" s="5">
        <v>6</v>
      </c>
      <c r="J14" s="5">
        <v>220</v>
      </c>
      <c r="K14" s="5">
        <v>20</v>
      </c>
      <c r="L14" s="5">
        <v>27</v>
      </c>
      <c r="M14" s="5">
        <v>3561</v>
      </c>
      <c r="N14" s="5">
        <v>109</v>
      </c>
      <c r="O14" s="7">
        <v>192</v>
      </c>
      <c r="P14" t="s">
        <v>520</v>
      </c>
    </row>
    <row r="15" spans="1:16" x14ac:dyDescent="0.2">
      <c r="A15" s="4" t="s">
        <v>24</v>
      </c>
      <c r="B15" s="4" t="s">
        <v>32</v>
      </c>
      <c r="C15" s="4" t="s">
        <v>15</v>
      </c>
      <c r="D15" s="4" t="s">
        <v>26</v>
      </c>
      <c r="E15" s="4" t="s">
        <v>13</v>
      </c>
      <c r="F15" s="5">
        <v>39640</v>
      </c>
      <c r="G15" s="5">
        <v>35992</v>
      </c>
      <c r="H15" s="6">
        <v>3</v>
      </c>
      <c r="I15" s="5">
        <v>6</v>
      </c>
      <c r="J15" s="5">
        <v>220</v>
      </c>
      <c r="K15" s="5">
        <v>18</v>
      </c>
      <c r="L15" s="5">
        <v>25</v>
      </c>
      <c r="M15" s="5">
        <v>3880</v>
      </c>
      <c r="N15" s="5">
        <v>109</v>
      </c>
      <c r="O15" s="7">
        <v>192</v>
      </c>
      <c r="P15" t="s">
        <v>519</v>
      </c>
    </row>
    <row r="16" spans="1:16" x14ac:dyDescent="0.2">
      <c r="A16" s="4" t="s">
        <v>24</v>
      </c>
      <c r="B16" s="4" t="s">
        <v>33</v>
      </c>
      <c r="C16" s="4" t="s">
        <v>15</v>
      </c>
      <c r="D16" s="4" t="s">
        <v>26</v>
      </c>
      <c r="E16" s="4" t="s">
        <v>16</v>
      </c>
      <c r="F16" s="5">
        <v>42490</v>
      </c>
      <c r="G16" s="5">
        <v>38325</v>
      </c>
      <c r="H16" s="6">
        <v>3</v>
      </c>
      <c r="I16" s="5">
        <v>6</v>
      </c>
      <c r="J16" s="5">
        <v>220</v>
      </c>
      <c r="K16" s="5">
        <v>20</v>
      </c>
      <c r="L16" s="5">
        <v>27</v>
      </c>
      <c r="M16" s="5">
        <v>3814</v>
      </c>
      <c r="N16" s="5">
        <v>105</v>
      </c>
      <c r="O16" s="7">
        <v>180</v>
      </c>
      <c r="P16" t="s">
        <v>518</v>
      </c>
    </row>
    <row r="17" spans="1:16" x14ac:dyDescent="0.2">
      <c r="A17" s="4" t="s">
        <v>24</v>
      </c>
      <c r="B17" s="4" t="s">
        <v>34</v>
      </c>
      <c r="C17" s="4" t="s">
        <v>15</v>
      </c>
      <c r="D17" s="4" t="s">
        <v>26</v>
      </c>
      <c r="E17" s="4" t="s">
        <v>13</v>
      </c>
      <c r="F17" s="5">
        <v>44240</v>
      </c>
      <c r="G17" s="5">
        <v>40075</v>
      </c>
      <c r="H17" s="6">
        <v>3</v>
      </c>
      <c r="I17" s="5">
        <v>6</v>
      </c>
      <c r="J17" s="5">
        <v>220</v>
      </c>
      <c r="K17" s="5">
        <v>18</v>
      </c>
      <c r="L17" s="5">
        <v>25</v>
      </c>
      <c r="M17" s="5">
        <v>4013</v>
      </c>
      <c r="N17" s="5">
        <v>105</v>
      </c>
      <c r="O17" s="7">
        <v>180</v>
      </c>
      <c r="P17" t="s">
        <v>517</v>
      </c>
    </row>
    <row r="18" spans="1:16" x14ac:dyDescent="0.2">
      <c r="A18" s="4" t="s">
        <v>24</v>
      </c>
      <c r="B18" s="4" t="s">
        <v>35</v>
      </c>
      <c r="C18" s="4" t="s">
        <v>15</v>
      </c>
      <c r="D18" s="4" t="s">
        <v>26</v>
      </c>
      <c r="E18" s="4" t="s">
        <v>13</v>
      </c>
      <c r="F18" s="5">
        <v>42840</v>
      </c>
      <c r="G18" s="5">
        <v>38840</v>
      </c>
      <c r="H18" s="6">
        <v>2.7</v>
      </c>
      <c r="I18" s="5">
        <v>6</v>
      </c>
      <c r="J18" s="5">
        <v>250</v>
      </c>
      <c r="K18" s="5">
        <v>18</v>
      </c>
      <c r="L18" s="5">
        <v>25</v>
      </c>
      <c r="M18" s="5">
        <v>3836</v>
      </c>
      <c r="N18" s="5">
        <v>109</v>
      </c>
      <c r="O18" s="7">
        <v>192</v>
      </c>
      <c r="P18" t="s">
        <v>518</v>
      </c>
    </row>
    <row r="19" spans="1:16" x14ac:dyDescent="0.2">
      <c r="A19" s="4" t="s">
        <v>24</v>
      </c>
      <c r="B19" s="4" t="s">
        <v>36</v>
      </c>
      <c r="C19" s="4" t="s">
        <v>15</v>
      </c>
      <c r="D19" s="4" t="s">
        <v>26</v>
      </c>
      <c r="E19" s="4" t="s">
        <v>13</v>
      </c>
      <c r="F19" s="5">
        <v>49690</v>
      </c>
      <c r="G19" s="5">
        <v>44936</v>
      </c>
      <c r="H19" s="6">
        <v>4.2</v>
      </c>
      <c r="I19" s="5">
        <v>8</v>
      </c>
      <c r="J19" s="5">
        <v>300</v>
      </c>
      <c r="K19" s="5">
        <v>17</v>
      </c>
      <c r="L19" s="5">
        <v>24</v>
      </c>
      <c r="M19" s="5">
        <v>4024</v>
      </c>
      <c r="N19" s="5">
        <v>109</v>
      </c>
      <c r="O19" s="7">
        <v>193</v>
      </c>
      <c r="P19" t="s">
        <v>519</v>
      </c>
    </row>
    <row r="20" spans="1:16" x14ac:dyDescent="0.2">
      <c r="A20" s="4" t="s">
        <v>24</v>
      </c>
      <c r="B20" s="4" t="s">
        <v>37</v>
      </c>
      <c r="C20" s="4" t="s">
        <v>15</v>
      </c>
      <c r="D20" s="4" t="s">
        <v>26</v>
      </c>
      <c r="E20" s="4" t="s">
        <v>13</v>
      </c>
      <c r="F20" s="5">
        <v>69190</v>
      </c>
      <c r="G20" s="5">
        <v>64740</v>
      </c>
      <c r="H20" s="6">
        <v>4.2</v>
      </c>
      <c r="I20" s="5">
        <v>8</v>
      </c>
      <c r="J20" s="5">
        <v>330</v>
      </c>
      <c r="K20" s="5">
        <v>17</v>
      </c>
      <c r="L20" s="5">
        <v>24</v>
      </c>
      <c r="M20" s="5">
        <v>4399</v>
      </c>
      <c r="N20" s="5">
        <v>121</v>
      </c>
      <c r="O20" s="7">
        <v>204</v>
      </c>
      <c r="P20" t="s">
        <v>520</v>
      </c>
    </row>
    <row r="21" spans="1:16" x14ac:dyDescent="0.2">
      <c r="A21" s="4" t="s">
        <v>24</v>
      </c>
      <c r="B21" s="4" t="s">
        <v>38</v>
      </c>
      <c r="C21" s="4" t="s">
        <v>15</v>
      </c>
      <c r="D21" s="4" t="s">
        <v>26</v>
      </c>
      <c r="E21" s="4" t="s">
        <v>13</v>
      </c>
      <c r="F21" s="5">
        <v>48040</v>
      </c>
      <c r="G21" s="5">
        <v>43556</v>
      </c>
      <c r="H21" s="6">
        <v>4.2</v>
      </c>
      <c r="I21" s="5">
        <v>8</v>
      </c>
      <c r="J21" s="5">
        <v>340</v>
      </c>
      <c r="K21" s="5">
        <v>14</v>
      </c>
      <c r="L21" s="5">
        <v>20</v>
      </c>
      <c r="M21" s="5">
        <v>3825</v>
      </c>
      <c r="N21" s="5">
        <v>104</v>
      </c>
      <c r="O21" s="7">
        <v>179</v>
      </c>
      <c r="P21" t="s">
        <v>520</v>
      </c>
    </row>
    <row r="22" spans="1:16" x14ac:dyDescent="0.2">
      <c r="A22" s="4" t="s">
        <v>24</v>
      </c>
      <c r="B22" s="4" t="s">
        <v>39</v>
      </c>
      <c r="C22" s="4" t="s">
        <v>22</v>
      </c>
      <c r="D22" s="4" t="s">
        <v>26</v>
      </c>
      <c r="E22" s="4" t="s">
        <v>16</v>
      </c>
      <c r="F22" s="5">
        <v>84600</v>
      </c>
      <c r="G22" s="5">
        <v>76417</v>
      </c>
      <c r="H22" s="6">
        <v>4.2</v>
      </c>
      <c r="I22" s="5">
        <v>8</v>
      </c>
      <c r="J22" s="5">
        <v>450</v>
      </c>
      <c r="K22" s="5">
        <v>15</v>
      </c>
      <c r="L22" s="5">
        <v>22</v>
      </c>
      <c r="M22" s="5">
        <v>4024</v>
      </c>
      <c r="N22" s="5">
        <v>109</v>
      </c>
      <c r="O22" s="7">
        <v>191</v>
      </c>
      <c r="P22" t="s">
        <v>519</v>
      </c>
    </row>
    <row r="23" spans="1:16" x14ac:dyDescent="0.2">
      <c r="A23" s="4" t="s">
        <v>24</v>
      </c>
      <c r="B23" s="4" t="s">
        <v>40</v>
      </c>
      <c r="C23" s="4" t="s">
        <v>22</v>
      </c>
      <c r="D23" s="4" t="s">
        <v>26</v>
      </c>
      <c r="E23" s="4" t="s">
        <v>16</v>
      </c>
      <c r="F23" s="5">
        <v>35940</v>
      </c>
      <c r="G23" s="5">
        <v>32512</v>
      </c>
      <c r="H23" s="6">
        <v>1.8</v>
      </c>
      <c r="I23" s="5">
        <v>4</v>
      </c>
      <c r="J23" s="5">
        <v>180</v>
      </c>
      <c r="K23" s="5">
        <v>20</v>
      </c>
      <c r="L23" s="5">
        <v>28</v>
      </c>
      <c r="M23" s="5">
        <v>3131</v>
      </c>
      <c r="N23" s="5">
        <v>95</v>
      </c>
      <c r="O23" s="7">
        <v>159</v>
      </c>
    </row>
    <row r="24" spans="1:16" x14ac:dyDescent="0.2">
      <c r="A24" s="4" t="s">
        <v>24</v>
      </c>
      <c r="B24" s="4" t="s">
        <v>41</v>
      </c>
      <c r="C24" s="4" t="s">
        <v>22</v>
      </c>
      <c r="D24" s="4" t="s">
        <v>26</v>
      </c>
      <c r="E24" s="4" t="s">
        <v>13</v>
      </c>
      <c r="F24" s="5">
        <v>37390</v>
      </c>
      <c r="G24" s="5">
        <v>33891</v>
      </c>
      <c r="H24" s="6">
        <v>1.8</v>
      </c>
      <c r="I24" s="5">
        <v>4</v>
      </c>
      <c r="J24" s="5">
        <v>225</v>
      </c>
      <c r="K24" s="5">
        <v>20</v>
      </c>
      <c r="L24" s="5">
        <v>28</v>
      </c>
      <c r="M24" s="5">
        <v>2921</v>
      </c>
      <c r="N24" s="5">
        <v>96</v>
      </c>
      <c r="O24" s="7">
        <v>159</v>
      </c>
    </row>
    <row r="25" spans="1:16" x14ac:dyDescent="0.2">
      <c r="A25" s="4" t="s">
        <v>24</v>
      </c>
      <c r="B25" s="4" t="s">
        <v>42</v>
      </c>
      <c r="C25" s="4" t="s">
        <v>22</v>
      </c>
      <c r="D25" s="4" t="s">
        <v>26</v>
      </c>
      <c r="E25" s="4" t="s">
        <v>13</v>
      </c>
      <c r="F25" s="5">
        <v>40590</v>
      </c>
      <c r="G25" s="5">
        <v>36739</v>
      </c>
      <c r="H25" s="6">
        <v>3.2</v>
      </c>
      <c r="I25" s="5">
        <v>6</v>
      </c>
      <c r="J25" s="5">
        <v>250</v>
      </c>
      <c r="K25" s="5">
        <v>21</v>
      </c>
      <c r="L25" s="5">
        <v>29</v>
      </c>
      <c r="M25" s="5">
        <v>3351</v>
      </c>
      <c r="N25" s="5">
        <v>96</v>
      </c>
      <c r="O25" s="7">
        <v>159</v>
      </c>
      <c r="P25" t="s">
        <v>517</v>
      </c>
    </row>
    <row r="26" spans="1:16" x14ac:dyDescent="0.2">
      <c r="A26" s="4" t="s">
        <v>24</v>
      </c>
      <c r="B26" s="4" t="s">
        <v>43</v>
      </c>
      <c r="C26" s="4" t="s">
        <v>44</v>
      </c>
      <c r="D26" s="4" t="s">
        <v>26</v>
      </c>
      <c r="E26" s="4" t="s">
        <v>13</v>
      </c>
      <c r="F26" s="5">
        <v>40840</v>
      </c>
      <c r="G26" s="5">
        <v>37060</v>
      </c>
      <c r="H26" s="6">
        <v>3</v>
      </c>
      <c r="I26" s="5">
        <v>6</v>
      </c>
      <c r="J26" s="5">
        <v>220</v>
      </c>
      <c r="K26" s="5">
        <v>18</v>
      </c>
      <c r="L26" s="5">
        <v>25</v>
      </c>
      <c r="M26" s="5">
        <v>4035</v>
      </c>
      <c r="N26" s="5">
        <v>109</v>
      </c>
      <c r="O26" s="7">
        <v>192</v>
      </c>
      <c r="P26" t="s">
        <v>518</v>
      </c>
    </row>
    <row r="27" spans="1:16" x14ac:dyDescent="0.2">
      <c r="A27" s="4" t="s">
        <v>24</v>
      </c>
      <c r="B27" s="4" t="s">
        <v>45</v>
      </c>
      <c r="C27" s="4" t="s">
        <v>44</v>
      </c>
      <c r="D27" s="4" t="s">
        <v>26</v>
      </c>
      <c r="E27" s="4" t="s">
        <v>13</v>
      </c>
      <c r="F27" s="5">
        <v>49090</v>
      </c>
      <c r="G27" s="5">
        <v>44446</v>
      </c>
      <c r="H27" s="6">
        <v>4.2</v>
      </c>
      <c r="I27" s="5">
        <v>8</v>
      </c>
      <c r="J27" s="5">
        <v>340</v>
      </c>
      <c r="K27" s="5">
        <v>15</v>
      </c>
      <c r="L27" s="5">
        <v>21</v>
      </c>
      <c r="M27" s="5">
        <v>3936</v>
      </c>
      <c r="N27" s="5">
        <v>104</v>
      </c>
      <c r="O27" s="7">
        <v>179</v>
      </c>
      <c r="P27" t="s">
        <v>519</v>
      </c>
    </row>
    <row r="28" spans="1:16" x14ac:dyDescent="0.2">
      <c r="A28" s="4" t="s">
        <v>46</v>
      </c>
      <c r="B28" s="4" t="s">
        <v>47</v>
      </c>
      <c r="C28" s="4" t="s">
        <v>11</v>
      </c>
      <c r="D28" s="4" t="s">
        <v>26</v>
      </c>
      <c r="E28" s="4" t="s">
        <v>13</v>
      </c>
      <c r="F28" s="5">
        <v>37000</v>
      </c>
      <c r="G28" s="5">
        <v>33873</v>
      </c>
      <c r="H28" s="6">
        <v>3</v>
      </c>
      <c r="I28" s="5">
        <v>6</v>
      </c>
      <c r="J28" s="5">
        <v>225</v>
      </c>
      <c r="K28" s="5">
        <v>16</v>
      </c>
      <c r="L28" s="5">
        <v>23</v>
      </c>
      <c r="M28" s="5">
        <v>4023</v>
      </c>
      <c r="N28" s="5">
        <v>110</v>
      </c>
      <c r="O28" s="7">
        <v>180</v>
      </c>
      <c r="P28" t="s">
        <v>520</v>
      </c>
    </row>
    <row r="29" spans="1:16" x14ac:dyDescent="0.2">
      <c r="A29" s="4" t="s">
        <v>46</v>
      </c>
      <c r="B29" s="4" t="s">
        <v>48</v>
      </c>
      <c r="C29" s="4" t="s">
        <v>11</v>
      </c>
      <c r="D29" s="4" t="s">
        <v>26</v>
      </c>
      <c r="E29" s="4" t="s">
        <v>13</v>
      </c>
      <c r="F29" s="5">
        <v>52195</v>
      </c>
      <c r="G29" s="5">
        <v>47720</v>
      </c>
      <c r="H29" s="6">
        <v>4.4000000000000004</v>
      </c>
      <c r="I29" s="5">
        <v>8</v>
      </c>
      <c r="J29" s="5">
        <v>325</v>
      </c>
      <c r="K29" s="5">
        <v>16</v>
      </c>
      <c r="L29" s="5">
        <v>22</v>
      </c>
      <c r="M29" s="5">
        <v>4824</v>
      </c>
      <c r="N29" s="5">
        <v>111</v>
      </c>
      <c r="O29" s="7">
        <v>184</v>
      </c>
      <c r="P29" t="s">
        <v>519</v>
      </c>
    </row>
    <row r="30" spans="1:16" x14ac:dyDescent="0.2">
      <c r="A30" s="4" t="s">
        <v>46</v>
      </c>
      <c r="B30" s="4" t="s">
        <v>49</v>
      </c>
      <c r="C30" s="4" t="s">
        <v>15</v>
      </c>
      <c r="D30" s="4" t="s">
        <v>26</v>
      </c>
      <c r="E30" s="4" t="s">
        <v>23</v>
      </c>
      <c r="F30" s="5">
        <v>28495</v>
      </c>
      <c r="G30" s="5">
        <v>26155</v>
      </c>
      <c r="H30" s="6">
        <v>2.5</v>
      </c>
      <c r="I30" s="5">
        <v>6</v>
      </c>
      <c r="J30" s="5">
        <v>184</v>
      </c>
      <c r="K30" s="5">
        <v>20</v>
      </c>
      <c r="L30" s="5">
        <v>29</v>
      </c>
      <c r="M30" s="5">
        <v>3219</v>
      </c>
      <c r="N30" s="5">
        <v>107</v>
      </c>
      <c r="O30" s="7">
        <v>176</v>
      </c>
      <c r="P30" t="s">
        <v>518</v>
      </c>
    </row>
    <row r="31" spans="1:16" x14ac:dyDescent="0.2">
      <c r="A31" s="4" t="s">
        <v>46</v>
      </c>
      <c r="B31" s="4" t="s">
        <v>50</v>
      </c>
      <c r="C31" s="4" t="s">
        <v>15</v>
      </c>
      <c r="D31" s="4" t="s">
        <v>26</v>
      </c>
      <c r="E31" s="4" t="s">
        <v>23</v>
      </c>
      <c r="F31" s="5">
        <v>30795</v>
      </c>
      <c r="G31" s="5">
        <v>28245</v>
      </c>
      <c r="H31" s="6">
        <v>2.5</v>
      </c>
      <c r="I31" s="5">
        <v>6</v>
      </c>
      <c r="J31" s="5">
        <v>184</v>
      </c>
      <c r="K31" s="5">
        <v>20</v>
      </c>
      <c r="L31" s="5">
        <v>29</v>
      </c>
      <c r="M31" s="5">
        <v>3197</v>
      </c>
      <c r="N31" s="5">
        <v>107</v>
      </c>
      <c r="O31" s="7">
        <v>177</v>
      </c>
      <c r="P31" t="s">
        <v>517</v>
      </c>
    </row>
    <row r="32" spans="1:16" x14ac:dyDescent="0.2">
      <c r="A32" s="4" t="s">
        <v>46</v>
      </c>
      <c r="B32" s="4" t="s">
        <v>51</v>
      </c>
      <c r="C32" s="4" t="s">
        <v>15</v>
      </c>
      <c r="D32" s="4" t="s">
        <v>26</v>
      </c>
      <c r="E32" s="4" t="s">
        <v>23</v>
      </c>
      <c r="F32" s="5">
        <v>37995</v>
      </c>
      <c r="G32" s="5">
        <v>34800</v>
      </c>
      <c r="H32" s="6">
        <v>2.5</v>
      </c>
      <c r="I32" s="5">
        <v>6</v>
      </c>
      <c r="J32" s="5">
        <v>184</v>
      </c>
      <c r="K32" s="5">
        <v>19</v>
      </c>
      <c r="L32" s="5">
        <v>27</v>
      </c>
      <c r="M32" s="5">
        <v>3560</v>
      </c>
      <c r="N32" s="5">
        <v>107</v>
      </c>
      <c r="O32" s="7">
        <v>177</v>
      </c>
      <c r="P32" t="s">
        <v>518</v>
      </c>
    </row>
    <row r="33" spans="1:16" x14ac:dyDescent="0.2">
      <c r="A33" s="4" t="s">
        <v>46</v>
      </c>
      <c r="B33" s="4" t="s">
        <v>52</v>
      </c>
      <c r="C33" s="4" t="s">
        <v>15</v>
      </c>
      <c r="D33" s="4" t="s">
        <v>26</v>
      </c>
      <c r="E33" s="4" t="s">
        <v>13</v>
      </c>
      <c r="F33" s="5">
        <v>30245</v>
      </c>
      <c r="G33" s="5">
        <v>27745</v>
      </c>
      <c r="H33" s="6">
        <v>2.5</v>
      </c>
      <c r="I33" s="5">
        <v>6</v>
      </c>
      <c r="J33" s="5">
        <v>184</v>
      </c>
      <c r="K33" s="5">
        <v>19</v>
      </c>
      <c r="L33" s="5">
        <v>27</v>
      </c>
      <c r="M33" s="5">
        <v>3461</v>
      </c>
      <c r="N33" s="5">
        <v>107</v>
      </c>
      <c r="O33" s="7">
        <v>176</v>
      </c>
      <c r="P33" t="s">
        <v>517</v>
      </c>
    </row>
    <row r="34" spans="1:16" x14ac:dyDescent="0.2">
      <c r="A34" s="4" t="s">
        <v>46</v>
      </c>
      <c r="B34" s="4" t="s">
        <v>53</v>
      </c>
      <c r="C34" s="4" t="s">
        <v>15</v>
      </c>
      <c r="D34" s="4" t="s">
        <v>26</v>
      </c>
      <c r="E34" s="4" t="s">
        <v>23</v>
      </c>
      <c r="F34" s="5">
        <v>35495</v>
      </c>
      <c r="G34" s="5">
        <v>32525</v>
      </c>
      <c r="H34" s="6">
        <v>3</v>
      </c>
      <c r="I34" s="5">
        <v>6</v>
      </c>
      <c r="J34" s="5">
        <v>225</v>
      </c>
      <c r="K34" s="5">
        <v>20</v>
      </c>
      <c r="L34" s="5">
        <v>30</v>
      </c>
      <c r="M34" s="5">
        <v>3285</v>
      </c>
      <c r="N34" s="5">
        <v>107</v>
      </c>
      <c r="O34" s="7">
        <v>176</v>
      </c>
      <c r="P34" t="s">
        <v>518</v>
      </c>
    </row>
    <row r="35" spans="1:16" x14ac:dyDescent="0.2">
      <c r="A35" s="4" t="s">
        <v>46</v>
      </c>
      <c r="B35" s="4" t="s">
        <v>54</v>
      </c>
      <c r="C35" s="4" t="s">
        <v>15</v>
      </c>
      <c r="D35" s="4" t="s">
        <v>26</v>
      </c>
      <c r="E35" s="4" t="s">
        <v>23</v>
      </c>
      <c r="F35" s="5">
        <v>36995</v>
      </c>
      <c r="G35" s="5">
        <v>33890</v>
      </c>
      <c r="H35" s="6">
        <v>3</v>
      </c>
      <c r="I35" s="5">
        <v>6</v>
      </c>
      <c r="J35" s="5">
        <v>225</v>
      </c>
      <c r="K35" s="5">
        <v>20</v>
      </c>
      <c r="L35" s="5">
        <v>30</v>
      </c>
      <c r="M35" s="5">
        <v>3285</v>
      </c>
      <c r="N35" s="5">
        <v>107</v>
      </c>
      <c r="O35" s="7">
        <v>176</v>
      </c>
      <c r="P35" t="s">
        <v>519</v>
      </c>
    </row>
    <row r="36" spans="1:16" x14ac:dyDescent="0.2">
      <c r="A36" s="4" t="s">
        <v>46</v>
      </c>
      <c r="B36" s="4" t="s">
        <v>55</v>
      </c>
      <c r="C36" s="4" t="s">
        <v>15</v>
      </c>
      <c r="D36" s="4" t="s">
        <v>26</v>
      </c>
      <c r="E36" s="4" t="s">
        <v>13</v>
      </c>
      <c r="F36" s="5">
        <v>37245</v>
      </c>
      <c r="G36" s="5">
        <v>34115</v>
      </c>
      <c r="H36" s="6">
        <v>3</v>
      </c>
      <c r="I36" s="5">
        <v>6</v>
      </c>
      <c r="J36" s="5">
        <v>225</v>
      </c>
      <c r="K36" s="5">
        <v>20</v>
      </c>
      <c r="L36" s="5">
        <v>29</v>
      </c>
      <c r="M36" s="5">
        <v>3483</v>
      </c>
      <c r="N36" s="5">
        <v>107</v>
      </c>
      <c r="O36" s="7">
        <v>176</v>
      </c>
      <c r="P36" t="s">
        <v>520</v>
      </c>
    </row>
    <row r="37" spans="1:16" x14ac:dyDescent="0.2">
      <c r="A37" s="4" t="s">
        <v>46</v>
      </c>
      <c r="B37" s="4" t="s">
        <v>56</v>
      </c>
      <c r="C37" s="4" t="s">
        <v>15</v>
      </c>
      <c r="D37" s="4" t="s">
        <v>26</v>
      </c>
      <c r="E37" s="4" t="s">
        <v>23</v>
      </c>
      <c r="F37" s="5">
        <v>39995</v>
      </c>
      <c r="G37" s="5">
        <v>36620</v>
      </c>
      <c r="H37" s="6">
        <v>2.5</v>
      </c>
      <c r="I37" s="5">
        <v>6</v>
      </c>
      <c r="J37" s="5">
        <v>184</v>
      </c>
      <c r="K37" s="5">
        <v>19</v>
      </c>
      <c r="L37" s="5">
        <v>28</v>
      </c>
      <c r="M37" s="5">
        <v>3428</v>
      </c>
      <c r="N37" s="5">
        <v>114</v>
      </c>
      <c r="O37" s="7">
        <v>191</v>
      </c>
      <c r="P37" t="s">
        <v>519</v>
      </c>
    </row>
    <row r="38" spans="1:16" x14ac:dyDescent="0.2">
      <c r="A38" s="4" t="s">
        <v>46</v>
      </c>
      <c r="B38" s="4" t="s">
        <v>57</v>
      </c>
      <c r="C38" s="4" t="s">
        <v>15</v>
      </c>
      <c r="D38" s="4" t="s">
        <v>26</v>
      </c>
      <c r="E38" s="4" t="s">
        <v>23</v>
      </c>
      <c r="F38" s="5">
        <v>44295</v>
      </c>
      <c r="G38" s="5">
        <v>40530</v>
      </c>
      <c r="H38" s="6">
        <v>3</v>
      </c>
      <c r="I38" s="5">
        <v>6</v>
      </c>
      <c r="J38" s="5">
        <v>225</v>
      </c>
      <c r="K38" s="5">
        <v>19</v>
      </c>
      <c r="L38" s="5">
        <v>28</v>
      </c>
      <c r="M38" s="5">
        <v>3616</v>
      </c>
      <c r="N38" s="5">
        <v>107</v>
      </c>
      <c r="O38" s="7">
        <v>177</v>
      </c>
      <c r="P38" t="s">
        <v>518</v>
      </c>
    </row>
    <row r="39" spans="1:16" x14ac:dyDescent="0.2">
      <c r="A39" s="4" t="s">
        <v>46</v>
      </c>
      <c r="B39" s="4" t="s">
        <v>58</v>
      </c>
      <c r="C39" s="4" t="s">
        <v>15</v>
      </c>
      <c r="D39" s="4" t="s">
        <v>26</v>
      </c>
      <c r="E39" s="4" t="s">
        <v>23</v>
      </c>
      <c r="F39" s="5">
        <v>44995</v>
      </c>
      <c r="G39" s="5">
        <v>41170</v>
      </c>
      <c r="H39" s="6">
        <v>3</v>
      </c>
      <c r="I39" s="5">
        <v>6</v>
      </c>
      <c r="J39" s="5">
        <v>225</v>
      </c>
      <c r="K39" s="5">
        <v>20</v>
      </c>
      <c r="L39" s="5">
        <v>30</v>
      </c>
      <c r="M39" s="5">
        <v>3472</v>
      </c>
      <c r="N39" s="5">
        <v>114</v>
      </c>
      <c r="O39" s="7">
        <v>191</v>
      </c>
      <c r="P39" t="s">
        <v>517</v>
      </c>
    </row>
    <row r="40" spans="1:16" x14ac:dyDescent="0.2">
      <c r="A40" s="4" t="s">
        <v>46</v>
      </c>
      <c r="B40" s="4" t="s">
        <v>59</v>
      </c>
      <c r="C40" s="4" t="s">
        <v>15</v>
      </c>
      <c r="D40" s="4" t="s">
        <v>26</v>
      </c>
      <c r="E40" s="4" t="s">
        <v>23</v>
      </c>
      <c r="F40" s="5">
        <v>54995</v>
      </c>
      <c r="G40" s="5">
        <v>50270</v>
      </c>
      <c r="H40" s="6">
        <v>4.4000000000000004</v>
      </c>
      <c r="I40" s="5">
        <v>8</v>
      </c>
      <c r="J40" s="5">
        <v>325</v>
      </c>
      <c r="K40" s="5">
        <v>18</v>
      </c>
      <c r="L40" s="5">
        <v>26</v>
      </c>
      <c r="M40" s="5">
        <v>3814</v>
      </c>
      <c r="N40" s="5">
        <v>114</v>
      </c>
      <c r="O40" s="7">
        <v>191</v>
      </c>
      <c r="P40" t="s">
        <v>518</v>
      </c>
    </row>
    <row r="41" spans="1:16" x14ac:dyDescent="0.2">
      <c r="A41" s="4" t="s">
        <v>46</v>
      </c>
      <c r="B41" s="4" t="s">
        <v>60</v>
      </c>
      <c r="C41" s="4" t="s">
        <v>15</v>
      </c>
      <c r="D41" s="4" t="s">
        <v>26</v>
      </c>
      <c r="E41" s="4" t="s">
        <v>23</v>
      </c>
      <c r="F41" s="5">
        <v>69195</v>
      </c>
      <c r="G41" s="5">
        <v>63190</v>
      </c>
      <c r="H41" s="6">
        <v>4.4000000000000004</v>
      </c>
      <c r="I41" s="5">
        <v>8</v>
      </c>
      <c r="J41" s="5">
        <v>325</v>
      </c>
      <c r="K41" s="5">
        <v>18</v>
      </c>
      <c r="L41" s="5">
        <v>26</v>
      </c>
      <c r="M41" s="5">
        <v>4376</v>
      </c>
      <c r="N41" s="5">
        <v>118</v>
      </c>
      <c r="O41" s="7">
        <v>198</v>
      </c>
      <c r="P41" t="s">
        <v>517</v>
      </c>
    </row>
    <row r="42" spans="1:16" x14ac:dyDescent="0.2">
      <c r="A42" s="4" t="s">
        <v>46</v>
      </c>
      <c r="B42" s="4" t="s">
        <v>61</v>
      </c>
      <c r="C42" s="4" t="s">
        <v>15</v>
      </c>
      <c r="D42" s="4" t="s">
        <v>26</v>
      </c>
      <c r="E42" s="4" t="s">
        <v>23</v>
      </c>
      <c r="F42" s="5">
        <v>73195</v>
      </c>
      <c r="G42" s="5">
        <v>66830</v>
      </c>
      <c r="H42" s="6">
        <v>4.4000000000000004</v>
      </c>
      <c r="I42" s="5">
        <v>8</v>
      </c>
      <c r="J42" s="5">
        <v>325</v>
      </c>
      <c r="K42" s="5">
        <v>18</v>
      </c>
      <c r="L42" s="5">
        <v>26</v>
      </c>
      <c r="M42" s="5">
        <v>4464</v>
      </c>
      <c r="N42" s="5">
        <v>123</v>
      </c>
      <c r="O42" s="7">
        <v>204</v>
      </c>
      <c r="P42" t="s">
        <v>518</v>
      </c>
    </row>
    <row r="43" spans="1:16" x14ac:dyDescent="0.2">
      <c r="A43" s="4" t="s">
        <v>46</v>
      </c>
      <c r="B43" s="4" t="s">
        <v>62</v>
      </c>
      <c r="C43" s="4" t="s">
        <v>22</v>
      </c>
      <c r="D43" s="4" t="s">
        <v>26</v>
      </c>
      <c r="E43" s="4" t="s">
        <v>23</v>
      </c>
      <c r="F43" s="5">
        <v>48195</v>
      </c>
      <c r="G43" s="5">
        <v>44170</v>
      </c>
      <c r="H43" s="6">
        <v>3.2</v>
      </c>
      <c r="I43" s="5">
        <v>6</v>
      </c>
      <c r="J43" s="5">
        <v>333</v>
      </c>
      <c r="K43" s="5">
        <v>16</v>
      </c>
      <c r="L43" s="5">
        <v>24</v>
      </c>
      <c r="M43" s="5">
        <v>3415</v>
      </c>
      <c r="N43" s="5">
        <v>108</v>
      </c>
      <c r="O43" s="7">
        <v>177</v>
      </c>
      <c r="P43" t="s">
        <v>519</v>
      </c>
    </row>
    <row r="44" spans="1:16" x14ac:dyDescent="0.2">
      <c r="A44" s="4" t="s">
        <v>46</v>
      </c>
      <c r="B44" s="4" t="s">
        <v>63</v>
      </c>
      <c r="C44" s="4" t="s">
        <v>22</v>
      </c>
      <c r="D44" s="4" t="s">
        <v>26</v>
      </c>
      <c r="E44" s="4" t="s">
        <v>23</v>
      </c>
      <c r="F44" s="5">
        <v>56595</v>
      </c>
      <c r="G44" s="5">
        <v>51815</v>
      </c>
      <c r="H44" s="6">
        <v>3.2</v>
      </c>
      <c r="I44" s="5">
        <v>6</v>
      </c>
      <c r="J44" s="5">
        <v>333</v>
      </c>
      <c r="K44" s="5">
        <v>16</v>
      </c>
      <c r="L44" s="5">
        <v>23</v>
      </c>
      <c r="M44" s="5">
        <v>3781</v>
      </c>
      <c r="N44" s="5">
        <v>108</v>
      </c>
      <c r="O44" s="7">
        <v>177</v>
      </c>
      <c r="P44" t="s">
        <v>520</v>
      </c>
    </row>
    <row r="45" spans="1:16" x14ac:dyDescent="0.2">
      <c r="A45" s="4" t="s">
        <v>46</v>
      </c>
      <c r="B45" s="4" t="s">
        <v>64</v>
      </c>
      <c r="C45" s="4" t="s">
        <v>22</v>
      </c>
      <c r="D45" s="4" t="s">
        <v>26</v>
      </c>
      <c r="E45" s="4" t="s">
        <v>23</v>
      </c>
      <c r="F45" s="5">
        <v>33895</v>
      </c>
      <c r="G45" s="5">
        <v>31065</v>
      </c>
      <c r="H45" s="6">
        <v>2.5</v>
      </c>
      <c r="I45" s="5">
        <v>6</v>
      </c>
      <c r="J45" s="5">
        <v>184</v>
      </c>
      <c r="K45" s="5">
        <v>20</v>
      </c>
      <c r="L45" s="5">
        <v>28</v>
      </c>
      <c r="M45" s="5">
        <v>2932</v>
      </c>
      <c r="N45" s="5">
        <v>98</v>
      </c>
      <c r="O45" s="7">
        <v>161</v>
      </c>
      <c r="P45" t="s">
        <v>519</v>
      </c>
    </row>
    <row r="46" spans="1:16" x14ac:dyDescent="0.2">
      <c r="A46" s="4" t="s">
        <v>46</v>
      </c>
      <c r="B46" s="4" t="s">
        <v>65</v>
      </c>
      <c r="C46" s="4" t="s">
        <v>22</v>
      </c>
      <c r="D46" s="4" t="s">
        <v>26</v>
      </c>
      <c r="E46" s="4" t="s">
        <v>23</v>
      </c>
      <c r="F46" s="5">
        <v>41045</v>
      </c>
      <c r="G46" s="5">
        <v>37575</v>
      </c>
      <c r="H46" s="6">
        <v>3</v>
      </c>
      <c r="I46" s="5">
        <v>6</v>
      </c>
      <c r="J46" s="5">
        <v>225</v>
      </c>
      <c r="K46" s="5">
        <v>21</v>
      </c>
      <c r="L46" s="5">
        <v>29</v>
      </c>
      <c r="M46" s="5">
        <v>2998</v>
      </c>
      <c r="N46" s="5">
        <v>98</v>
      </c>
      <c r="O46" s="7">
        <v>161</v>
      </c>
      <c r="P46" t="s">
        <v>518</v>
      </c>
    </row>
    <row r="47" spans="1:16" x14ac:dyDescent="0.2">
      <c r="A47" s="4" t="s">
        <v>46</v>
      </c>
      <c r="B47" s="4" t="s">
        <v>66</v>
      </c>
      <c r="C47" s="4" t="s">
        <v>44</v>
      </c>
      <c r="D47" s="4" t="s">
        <v>26</v>
      </c>
      <c r="E47" s="4" t="s">
        <v>13</v>
      </c>
      <c r="F47" s="5">
        <v>32845</v>
      </c>
      <c r="G47" s="5">
        <v>30110</v>
      </c>
      <c r="H47" s="6">
        <v>2.5</v>
      </c>
      <c r="I47" s="5">
        <v>6</v>
      </c>
      <c r="J47" s="5">
        <v>184</v>
      </c>
      <c r="K47" s="5">
        <v>19</v>
      </c>
      <c r="L47" s="5">
        <v>26</v>
      </c>
      <c r="M47" s="5">
        <v>3594</v>
      </c>
      <c r="N47" s="5">
        <v>107</v>
      </c>
      <c r="O47" s="7">
        <v>176</v>
      </c>
      <c r="P47" t="s">
        <v>517</v>
      </c>
    </row>
    <row r="48" spans="1:16" x14ac:dyDescent="0.2">
      <c r="A48" s="4" t="s">
        <v>67</v>
      </c>
      <c r="B48" s="4" t="s">
        <v>68</v>
      </c>
      <c r="C48" s="4" t="s">
        <v>11</v>
      </c>
      <c r="D48" s="4" t="s">
        <v>69</v>
      </c>
      <c r="E48" s="4" t="s">
        <v>13</v>
      </c>
      <c r="F48" s="5">
        <v>37895</v>
      </c>
      <c r="G48" s="5">
        <v>34357</v>
      </c>
      <c r="H48" s="6">
        <v>4.2</v>
      </c>
      <c r="I48" s="5">
        <v>6</v>
      </c>
      <c r="J48" s="5">
        <v>275</v>
      </c>
      <c r="K48" s="5">
        <v>15</v>
      </c>
      <c r="L48" s="5">
        <v>21</v>
      </c>
      <c r="M48" s="5">
        <v>4600</v>
      </c>
      <c r="N48" s="5">
        <v>113</v>
      </c>
      <c r="O48" s="7">
        <v>193</v>
      </c>
      <c r="P48" t="s">
        <v>518</v>
      </c>
    </row>
    <row r="49" spans="1:16" x14ac:dyDescent="0.2">
      <c r="A49" s="4" t="s">
        <v>67</v>
      </c>
      <c r="B49" s="4" t="s">
        <v>70</v>
      </c>
      <c r="C49" s="4" t="s">
        <v>11</v>
      </c>
      <c r="D49" s="4" t="s">
        <v>69</v>
      </c>
      <c r="E49" s="4" t="s">
        <v>16</v>
      </c>
      <c r="F49" s="5">
        <v>26545</v>
      </c>
      <c r="G49" s="5">
        <v>24085</v>
      </c>
      <c r="H49" s="6">
        <v>3.4</v>
      </c>
      <c r="I49" s="5">
        <v>6</v>
      </c>
      <c r="J49" s="5">
        <v>185</v>
      </c>
      <c r="K49" s="5">
        <v>19</v>
      </c>
      <c r="L49" s="5">
        <v>26</v>
      </c>
      <c r="M49" s="5">
        <v>4024</v>
      </c>
      <c r="N49" s="5">
        <v>112</v>
      </c>
      <c r="O49" s="7">
        <v>187</v>
      </c>
      <c r="P49" t="s">
        <v>517</v>
      </c>
    </row>
    <row r="50" spans="1:16" x14ac:dyDescent="0.2">
      <c r="A50" s="4" t="s">
        <v>67</v>
      </c>
      <c r="B50" s="4" t="s">
        <v>71</v>
      </c>
      <c r="C50" s="4" t="s">
        <v>15</v>
      </c>
      <c r="D50" s="4" t="s">
        <v>69</v>
      </c>
      <c r="E50" s="4" t="s">
        <v>16</v>
      </c>
      <c r="F50" s="5">
        <v>22180</v>
      </c>
      <c r="G50" s="5">
        <v>20351</v>
      </c>
      <c r="H50" s="6">
        <v>3.1</v>
      </c>
      <c r="I50" s="5">
        <v>6</v>
      </c>
      <c r="J50" s="5">
        <v>175</v>
      </c>
      <c r="K50" s="5">
        <v>20</v>
      </c>
      <c r="L50" s="5">
        <v>30</v>
      </c>
      <c r="M50" s="5">
        <v>3353</v>
      </c>
      <c r="N50" s="5">
        <v>109</v>
      </c>
      <c r="O50" s="7">
        <v>195</v>
      </c>
      <c r="P50" t="s">
        <v>518</v>
      </c>
    </row>
    <row r="51" spans="1:16" x14ac:dyDescent="0.2">
      <c r="A51" s="4" t="s">
        <v>67</v>
      </c>
      <c r="B51" s="4" t="s">
        <v>72</v>
      </c>
      <c r="C51" s="4" t="s">
        <v>15</v>
      </c>
      <c r="D51" s="4" t="s">
        <v>69</v>
      </c>
      <c r="E51" s="4" t="s">
        <v>16</v>
      </c>
      <c r="F51" s="5">
        <v>26470</v>
      </c>
      <c r="G51" s="5">
        <v>24282</v>
      </c>
      <c r="H51" s="6">
        <v>3.8</v>
      </c>
      <c r="I51" s="5">
        <v>6</v>
      </c>
      <c r="J51" s="5">
        <v>205</v>
      </c>
      <c r="K51" s="5">
        <v>20</v>
      </c>
      <c r="L51" s="5">
        <v>29</v>
      </c>
      <c r="M51" s="5">
        <v>3567</v>
      </c>
      <c r="N51" s="5">
        <v>112</v>
      </c>
      <c r="O51" s="7">
        <v>200</v>
      </c>
      <c r="P51" t="s">
        <v>517</v>
      </c>
    </row>
    <row r="52" spans="1:16" x14ac:dyDescent="0.2">
      <c r="A52" s="4" t="s">
        <v>67</v>
      </c>
      <c r="B52" s="4" t="s">
        <v>73</v>
      </c>
      <c r="C52" s="4" t="s">
        <v>15</v>
      </c>
      <c r="D52" s="4" t="s">
        <v>69</v>
      </c>
      <c r="E52" s="4" t="s">
        <v>16</v>
      </c>
      <c r="F52" s="5">
        <v>24895</v>
      </c>
      <c r="G52" s="5">
        <v>22835</v>
      </c>
      <c r="H52" s="6">
        <v>3.8</v>
      </c>
      <c r="I52" s="5">
        <v>6</v>
      </c>
      <c r="J52" s="5">
        <v>200</v>
      </c>
      <c r="K52" s="5">
        <v>20</v>
      </c>
      <c r="L52" s="5">
        <v>30</v>
      </c>
      <c r="M52" s="5">
        <v>3461</v>
      </c>
      <c r="N52" s="5">
        <v>109</v>
      </c>
      <c r="O52" s="7">
        <v>196</v>
      </c>
      <c r="P52" t="s">
        <v>518</v>
      </c>
    </row>
    <row r="53" spans="1:16" x14ac:dyDescent="0.2">
      <c r="A53" s="4" t="s">
        <v>67</v>
      </c>
      <c r="B53" s="4" t="s">
        <v>74</v>
      </c>
      <c r="C53" s="4" t="s">
        <v>15</v>
      </c>
      <c r="D53" s="4" t="s">
        <v>69</v>
      </c>
      <c r="E53" s="4" t="s">
        <v>16</v>
      </c>
      <c r="F53" s="5">
        <v>28345</v>
      </c>
      <c r="G53" s="5">
        <v>26047</v>
      </c>
      <c r="H53" s="6">
        <v>3.8</v>
      </c>
      <c r="I53" s="5">
        <v>6</v>
      </c>
      <c r="J53" s="5">
        <v>240</v>
      </c>
      <c r="K53" s="5">
        <v>18</v>
      </c>
      <c r="L53" s="5">
        <v>28</v>
      </c>
      <c r="M53" s="5">
        <v>3536</v>
      </c>
      <c r="N53" s="5">
        <v>109</v>
      </c>
      <c r="O53" s="7">
        <v>196</v>
      </c>
      <c r="P53" t="s">
        <v>519</v>
      </c>
    </row>
    <row r="54" spans="1:16" x14ac:dyDescent="0.2">
      <c r="A54" s="4" t="s">
        <v>67</v>
      </c>
      <c r="B54" s="4" t="s">
        <v>75</v>
      </c>
      <c r="C54" s="4" t="s">
        <v>15</v>
      </c>
      <c r="D54" s="4" t="s">
        <v>69</v>
      </c>
      <c r="E54" s="4" t="s">
        <v>16</v>
      </c>
      <c r="F54" s="5">
        <v>32245</v>
      </c>
      <c r="G54" s="5">
        <v>29566</v>
      </c>
      <c r="H54" s="6">
        <v>3.8</v>
      </c>
      <c r="I54" s="5">
        <v>6</v>
      </c>
      <c r="J54" s="5">
        <v>205</v>
      </c>
      <c r="K54" s="5">
        <v>20</v>
      </c>
      <c r="L54" s="5">
        <v>29</v>
      </c>
      <c r="M54" s="5">
        <v>3591</v>
      </c>
      <c r="N54" s="5">
        <v>112</v>
      </c>
      <c r="O54" s="7">
        <v>200</v>
      </c>
    </row>
    <row r="55" spans="1:16" x14ac:dyDescent="0.2">
      <c r="A55" s="4" t="s">
        <v>67</v>
      </c>
      <c r="B55" s="4" t="s">
        <v>76</v>
      </c>
      <c r="C55" s="4" t="s">
        <v>15</v>
      </c>
      <c r="D55" s="4" t="s">
        <v>69</v>
      </c>
      <c r="E55" s="4" t="s">
        <v>16</v>
      </c>
      <c r="F55" s="5">
        <v>35545</v>
      </c>
      <c r="G55" s="5">
        <v>32244</v>
      </c>
      <c r="H55" s="6">
        <v>3.8</v>
      </c>
      <c r="I55" s="5">
        <v>6</v>
      </c>
      <c r="J55" s="5">
        <v>205</v>
      </c>
      <c r="K55" s="5">
        <v>20</v>
      </c>
      <c r="L55" s="5">
        <v>29</v>
      </c>
      <c r="M55" s="5">
        <v>3778</v>
      </c>
      <c r="N55" s="5">
        <v>114</v>
      </c>
      <c r="O55" s="7">
        <v>207</v>
      </c>
    </row>
    <row r="56" spans="1:16" x14ac:dyDescent="0.2">
      <c r="A56" s="4" t="s">
        <v>67</v>
      </c>
      <c r="B56" s="4" t="s">
        <v>77</v>
      </c>
      <c r="C56" s="4" t="s">
        <v>15</v>
      </c>
      <c r="D56" s="4" t="s">
        <v>69</v>
      </c>
      <c r="E56" s="4" t="s">
        <v>16</v>
      </c>
      <c r="F56" s="5">
        <v>40720</v>
      </c>
      <c r="G56" s="5">
        <v>36927</v>
      </c>
      <c r="H56" s="6">
        <v>3.8</v>
      </c>
      <c r="I56" s="5">
        <v>6</v>
      </c>
      <c r="J56" s="5">
        <v>240</v>
      </c>
      <c r="K56" s="5">
        <v>18</v>
      </c>
      <c r="L56" s="5">
        <v>28</v>
      </c>
      <c r="M56" s="5">
        <v>3909</v>
      </c>
      <c r="N56" s="5">
        <v>114</v>
      </c>
      <c r="O56" s="7">
        <v>207</v>
      </c>
    </row>
    <row r="57" spans="1:16" x14ac:dyDescent="0.2">
      <c r="A57" s="4" t="s">
        <v>78</v>
      </c>
      <c r="B57" s="4" t="s">
        <v>79</v>
      </c>
      <c r="C57" s="4" t="s">
        <v>11</v>
      </c>
      <c r="D57" s="4" t="s">
        <v>69</v>
      </c>
      <c r="E57" s="4" t="s">
        <v>16</v>
      </c>
      <c r="F57" s="5">
        <v>52795</v>
      </c>
      <c r="G57" s="5">
        <v>48377</v>
      </c>
      <c r="H57" s="6">
        <v>5.3</v>
      </c>
      <c r="I57" s="5">
        <v>8</v>
      </c>
      <c r="J57" s="5">
        <v>295</v>
      </c>
      <c r="K57" s="5">
        <v>14</v>
      </c>
      <c r="L57" s="5">
        <v>18</v>
      </c>
      <c r="M57" s="5">
        <v>5367</v>
      </c>
      <c r="N57" s="5">
        <v>116</v>
      </c>
      <c r="O57" s="7">
        <v>199</v>
      </c>
    </row>
    <row r="58" spans="1:16" x14ac:dyDescent="0.2">
      <c r="A58" s="4" t="s">
        <v>78</v>
      </c>
      <c r="B58" s="4" t="s">
        <v>80</v>
      </c>
      <c r="C58" s="4" t="s">
        <v>11</v>
      </c>
      <c r="D58" s="4" t="s">
        <v>69</v>
      </c>
      <c r="E58" s="4" t="s">
        <v>16</v>
      </c>
      <c r="F58" s="5">
        <v>46995</v>
      </c>
      <c r="G58" s="5">
        <v>43523</v>
      </c>
      <c r="H58" s="6">
        <v>4.5999999999999996</v>
      </c>
      <c r="I58" s="5">
        <v>8</v>
      </c>
      <c r="J58" s="5">
        <v>320</v>
      </c>
      <c r="K58" s="5">
        <v>16</v>
      </c>
      <c r="L58" s="5">
        <v>21</v>
      </c>
      <c r="M58" s="5">
        <v>4302</v>
      </c>
      <c r="N58" s="5">
        <v>116</v>
      </c>
      <c r="O58" s="7">
        <v>195</v>
      </c>
      <c r="P58" t="s">
        <v>517</v>
      </c>
    </row>
    <row r="59" spans="1:16" x14ac:dyDescent="0.2">
      <c r="A59" s="4" t="s">
        <v>78</v>
      </c>
      <c r="B59" s="4" t="s">
        <v>81</v>
      </c>
      <c r="C59" s="4" t="s">
        <v>15</v>
      </c>
      <c r="D59" s="4" t="s">
        <v>69</v>
      </c>
      <c r="E59" s="4" t="s">
        <v>23</v>
      </c>
      <c r="F59" s="5">
        <v>30835</v>
      </c>
      <c r="G59" s="5">
        <v>28575</v>
      </c>
      <c r="H59" s="6">
        <v>3.6</v>
      </c>
      <c r="I59" s="5">
        <v>6</v>
      </c>
      <c r="J59" s="5">
        <v>255</v>
      </c>
      <c r="K59" s="5">
        <v>18</v>
      </c>
      <c r="L59" s="5">
        <v>25</v>
      </c>
      <c r="M59" s="5">
        <v>3694</v>
      </c>
      <c r="N59" s="5">
        <v>113</v>
      </c>
      <c r="O59" s="7">
        <v>190</v>
      </c>
      <c r="P59" t="s">
        <v>518</v>
      </c>
    </row>
    <row r="60" spans="1:16" x14ac:dyDescent="0.2">
      <c r="A60" s="4" t="s">
        <v>78</v>
      </c>
      <c r="B60" s="4" t="s">
        <v>82</v>
      </c>
      <c r="C60" s="4" t="s">
        <v>15</v>
      </c>
      <c r="D60" s="4" t="s">
        <v>69</v>
      </c>
      <c r="E60" s="4" t="s">
        <v>16</v>
      </c>
      <c r="F60" s="5">
        <v>45445</v>
      </c>
      <c r="G60" s="5">
        <v>41650</v>
      </c>
      <c r="H60" s="6">
        <v>4.5999999999999996</v>
      </c>
      <c r="I60" s="5">
        <v>8</v>
      </c>
      <c r="J60" s="5">
        <v>275</v>
      </c>
      <c r="K60" s="5">
        <v>18</v>
      </c>
      <c r="L60" s="5">
        <v>26</v>
      </c>
      <c r="M60" s="5">
        <v>3984</v>
      </c>
      <c r="N60" s="5">
        <v>115</v>
      </c>
      <c r="O60" s="7">
        <v>207</v>
      </c>
      <c r="P60" t="s">
        <v>517</v>
      </c>
    </row>
    <row r="61" spans="1:16" x14ac:dyDescent="0.2">
      <c r="A61" s="4" t="s">
        <v>78</v>
      </c>
      <c r="B61" s="4" t="s">
        <v>83</v>
      </c>
      <c r="C61" s="4" t="s">
        <v>15</v>
      </c>
      <c r="D61" s="4" t="s">
        <v>69</v>
      </c>
      <c r="E61" s="4" t="s">
        <v>16</v>
      </c>
      <c r="F61" s="5">
        <v>50595</v>
      </c>
      <c r="G61" s="5">
        <v>46362</v>
      </c>
      <c r="H61" s="6">
        <v>4.5999999999999996</v>
      </c>
      <c r="I61" s="5">
        <v>8</v>
      </c>
      <c r="J61" s="5">
        <v>300</v>
      </c>
      <c r="K61" s="5">
        <v>18</v>
      </c>
      <c r="L61" s="5">
        <v>26</v>
      </c>
      <c r="M61" s="5">
        <v>4044</v>
      </c>
      <c r="N61" s="5">
        <v>115</v>
      </c>
      <c r="O61" s="7">
        <v>207</v>
      </c>
      <c r="P61" t="s">
        <v>518</v>
      </c>
    </row>
    <row r="62" spans="1:16" x14ac:dyDescent="0.2">
      <c r="A62" s="4" t="s">
        <v>78</v>
      </c>
      <c r="B62" s="4" t="s">
        <v>84</v>
      </c>
      <c r="C62" s="4" t="s">
        <v>15</v>
      </c>
      <c r="D62" s="4" t="s">
        <v>69</v>
      </c>
      <c r="E62" s="4" t="s">
        <v>16</v>
      </c>
      <c r="F62" s="5">
        <v>47955</v>
      </c>
      <c r="G62" s="5">
        <v>43841</v>
      </c>
      <c r="H62" s="6">
        <v>4.5999999999999996</v>
      </c>
      <c r="I62" s="5">
        <v>8</v>
      </c>
      <c r="J62" s="5">
        <v>275</v>
      </c>
      <c r="K62" s="5">
        <v>18</v>
      </c>
      <c r="L62" s="5">
        <v>26</v>
      </c>
      <c r="M62" s="5">
        <v>3992</v>
      </c>
      <c r="N62" s="5">
        <v>112</v>
      </c>
      <c r="O62" s="7">
        <v>201</v>
      </c>
      <c r="P62" t="s">
        <v>519</v>
      </c>
    </row>
    <row r="63" spans="1:16" x14ac:dyDescent="0.2">
      <c r="A63" s="4" t="s">
        <v>78</v>
      </c>
      <c r="B63" s="4" t="s">
        <v>85</v>
      </c>
      <c r="C63" s="4" t="s">
        <v>22</v>
      </c>
      <c r="D63" s="4" t="s">
        <v>69</v>
      </c>
      <c r="E63" s="4" t="s">
        <v>23</v>
      </c>
      <c r="F63" s="5">
        <v>76200</v>
      </c>
      <c r="G63" s="5">
        <v>70546</v>
      </c>
      <c r="H63" s="6">
        <v>4.5999999999999996</v>
      </c>
      <c r="I63" s="5">
        <v>8</v>
      </c>
      <c r="J63" s="5">
        <v>320</v>
      </c>
      <c r="K63" s="5">
        <v>17</v>
      </c>
      <c r="L63" s="5">
        <v>25</v>
      </c>
      <c r="M63" s="5">
        <v>3647</v>
      </c>
      <c r="N63" s="5">
        <v>106</v>
      </c>
      <c r="O63" s="7">
        <v>178</v>
      </c>
    </row>
    <row r="64" spans="1:16" x14ac:dyDescent="0.2">
      <c r="A64" s="4" t="s">
        <v>78</v>
      </c>
      <c r="B64" s="4" t="s">
        <v>86</v>
      </c>
      <c r="C64" s="4" t="s">
        <v>87</v>
      </c>
      <c r="D64" s="4" t="s">
        <v>69</v>
      </c>
      <c r="E64" s="4" t="s">
        <v>13</v>
      </c>
      <c r="F64" s="5">
        <v>52975</v>
      </c>
      <c r="G64" s="5">
        <v>48541</v>
      </c>
      <c r="H64" s="6">
        <v>6</v>
      </c>
      <c r="I64" s="5">
        <v>8</v>
      </c>
      <c r="J64" s="5">
        <v>345</v>
      </c>
      <c r="K64" s="5">
        <v>13</v>
      </c>
      <c r="L64" s="5">
        <v>17</v>
      </c>
      <c r="M64" s="5">
        <v>5879</v>
      </c>
      <c r="N64" s="5">
        <v>130</v>
      </c>
      <c r="O64" s="7">
        <v>221</v>
      </c>
    </row>
    <row r="65" spans="1:16" x14ac:dyDescent="0.2">
      <c r="A65" s="4" t="s">
        <v>88</v>
      </c>
      <c r="B65" s="4" t="s">
        <v>89</v>
      </c>
      <c r="C65" s="4" t="s">
        <v>11</v>
      </c>
      <c r="D65" s="4" t="s">
        <v>69</v>
      </c>
      <c r="E65" s="4" t="s">
        <v>16</v>
      </c>
      <c r="F65" s="5">
        <v>42735</v>
      </c>
      <c r="G65" s="5">
        <v>37422</v>
      </c>
      <c r="H65" s="6">
        <v>5.3</v>
      </c>
      <c r="I65" s="5">
        <v>8</v>
      </c>
      <c r="J65" s="5">
        <v>295</v>
      </c>
      <c r="K65" s="5">
        <v>14</v>
      </c>
      <c r="L65" s="5">
        <v>18</v>
      </c>
      <c r="M65" s="5">
        <v>4947</v>
      </c>
      <c r="N65" s="5">
        <v>130</v>
      </c>
      <c r="O65" s="7">
        <v>219</v>
      </c>
    </row>
    <row r="66" spans="1:16" x14ac:dyDescent="0.2">
      <c r="A66" s="4" t="s">
        <v>88</v>
      </c>
      <c r="B66" s="4" t="s">
        <v>90</v>
      </c>
      <c r="C66" s="4" t="s">
        <v>11</v>
      </c>
      <c r="D66" s="4" t="s">
        <v>69</v>
      </c>
      <c r="E66" s="4" t="s">
        <v>13</v>
      </c>
      <c r="F66" s="5">
        <v>41465</v>
      </c>
      <c r="G66" s="5">
        <v>36287</v>
      </c>
      <c r="H66" s="6">
        <v>5.3</v>
      </c>
      <c r="I66" s="5">
        <v>8</v>
      </c>
      <c r="J66" s="5">
        <v>295</v>
      </c>
      <c r="K66" s="5">
        <v>14</v>
      </c>
      <c r="L66" s="5">
        <v>18</v>
      </c>
      <c r="M66" s="5">
        <v>5050</v>
      </c>
      <c r="N66" s="5">
        <v>116</v>
      </c>
      <c r="O66" s="7">
        <v>197</v>
      </c>
    </row>
    <row r="67" spans="1:16" x14ac:dyDescent="0.2">
      <c r="A67" s="4" t="s">
        <v>88</v>
      </c>
      <c r="B67" s="4" t="s">
        <v>91</v>
      </c>
      <c r="C67" s="4" t="s">
        <v>11</v>
      </c>
      <c r="D67" s="4" t="s">
        <v>69</v>
      </c>
      <c r="E67" s="4" t="s">
        <v>16</v>
      </c>
      <c r="F67" s="5">
        <v>30295</v>
      </c>
      <c r="G67" s="5">
        <v>27479</v>
      </c>
      <c r="H67" s="6">
        <v>4.2</v>
      </c>
      <c r="I67" s="5">
        <v>6</v>
      </c>
      <c r="J67" s="5">
        <v>275</v>
      </c>
      <c r="K67" s="5">
        <v>16</v>
      </c>
      <c r="L67" s="5">
        <v>21</v>
      </c>
      <c r="M67" s="5">
        <v>4425</v>
      </c>
      <c r="N67" s="5">
        <v>113</v>
      </c>
      <c r="O67" s="7">
        <v>192</v>
      </c>
    </row>
    <row r="68" spans="1:16" x14ac:dyDescent="0.2">
      <c r="A68" s="4" t="s">
        <v>88</v>
      </c>
      <c r="B68" s="4" t="s">
        <v>92</v>
      </c>
      <c r="C68" s="4" t="s">
        <v>11</v>
      </c>
      <c r="D68" s="4" t="s">
        <v>69</v>
      </c>
      <c r="E68" s="4" t="s">
        <v>16</v>
      </c>
      <c r="F68" s="5">
        <v>20255</v>
      </c>
      <c r="G68" s="5">
        <v>19108</v>
      </c>
      <c r="H68" s="6">
        <v>2.5</v>
      </c>
      <c r="I68" s="5">
        <v>6</v>
      </c>
      <c r="J68" s="5">
        <v>165</v>
      </c>
      <c r="K68" s="5">
        <v>19</v>
      </c>
      <c r="L68" s="5">
        <v>22</v>
      </c>
      <c r="M68" s="5">
        <v>2866</v>
      </c>
      <c r="N68" s="5">
        <v>98</v>
      </c>
      <c r="O68" s="7">
        <v>163</v>
      </c>
      <c r="P68" t="s">
        <v>518</v>
      </c>
    </row>
    <row r="69" spans="1:16" x14ac:dyDescent="0.2">
      <c r="A69" s="4" t="s">
        <v>88</v>
      </c>
      <c r="B69" s="4" t="s">
        <v>93</v>
      </c>
      <c r="C69" s="4" t="s">
        <v>15</v>
      </c>
      <c r="D69" s="4" t="s">
        <v>69</v>
      </c>
      <c r="E69" s="4" t="s">
        <v>16</v>
      </c>
      <c r="F69" s="5">
        <v>11690</v>
      </c>
      <c r="G69" s="5">
        <v>10965</v>
      </c>
      <c r="H69" s="6">
        <v>1.6</v>
      </c>
      <c r="I69" s="5">
        <v>4</v>
      </c>
      <c r="J69" s="5">
        <v>103</v>
      </c>
      <c r="K69" s="5">
        <v>28</v>
      </c>
      <c r="L69" s="5">
        <v>34</v>
      </c>
      <c r="M69" s="5">
        <v>2370</v>
      </c>
      <c r="N69" s="5">
        <v>98</v>
      </c>
      <c r="O69" s="7">
        <v>167</v>
      </c>
      <c r="P69" t="s">
        <v>517</v>
      </c>
    </row>
    <row r="70" spans="1:16" x14ac:dyDescent="0.2">
      <c r="A70" s="4" t="s">
        <v>88</v>
      </c>
      <c r="B70" s="4" t="s">
        <v>94</v>
      </c>
      <c r="C70" s="4" t="s">
        <v>15</v>
      </c>
      <c r="D70" s="4" t="s">
        <v>69</v>
      </c>
      <c r="E70" s="4" t="s">
        <v>16</v>
      </c>
      <c r="F70" s="5">
        <v>12585</v>
      </c>
      <c r="G70" s="5">
        <v>11802</v>
      </c>
      <c r="H70" s="6">
        <v>1.6</v>
      </c>
      <c r="I70" s="5">
        <v>4</v>
      </c>
      <c r="J70" s="5">
        <v>103</v>
      </c>
      <c r="K70" s="5">
        <v>28</v>
      </c>
      <c r="L70" s="5">
        <v>34</v>
      </c>
      <c r="M70" s="5">
        <v>2348</v>
      </c>
      <c r="N70" s="5">
        <v>98</v>
      </c>
      <c r="O70" s="7">
        <v>153</v>
      </c>
      <c r="P70" t="s">
        <v>518</v>
      </c>
    </row>
    <row r="71" spans="1:16" x14ac:dyDescent="0.2">
      <c r="A71" s="4" t="s">
        <v>88</v>
      </c>
      <c r="B71" s="4" t="s">
        <v>95</v>
      </c>
      <c r="C71" s="4" t="s">
        <v>15</v>
      </c>
      <c r="D71" s="4" t="s">
        <v>69</v>
      </c>
      <c r="E71" s="4" t="s">
        <v>16</v>
      </c>
      <c r="F71" s="5">
        <v>14610</v>
      </c>
      <c r="G71" s="5">
        <v>13697</v>
      </c>
      <c r="H71" s="6">
        <v>2.2000000000000002</v>
      </c>
      <c r="I71" s="5">
        <v>4</v>
      </c>
      <c r="J71" s="5">
        <v>140</v>
      </c>
      <c r="K71" s="5">
        <v>26</v>
      </c>
      <c r="L71" s="5">
        <v>37</v>
      </c>
      <c r="M71" s="5">
        <v>2617</v>
      </c>
      <c r="N71" s="5">
        <v>104</v>
      </c>
      <c r="O71" s="7">
        <v>183</v>
      </c>
      <c r="P71" t="s">
        <v>517</v>
      </c>
    </row>
    <row r="72" spans="1:16" x14ac:dyDescent="0.2">
      <c r="A72" s="4" t="s">
        <v>88</v>
      </c>
      <c r="B72" s="4" t="s">
        <v>96</v>
      </c>
      <c r="C72" s="4" t="s">
        <v>15</v>
      </c>
      <c r="D72" s="4" t="s">
        <v>69</v>
      </c>
      <c r="E72" s="4" t="s">
        <v>16</v>
      </c>
      <c r="F72" s="5">
        <v>14810</v>
      </c>
      <c r="G72" s="5">
        <v>13884</v>
      </c>
      <c r="H72" s="6">
        <v>2.2000000000000002</v>
      </c>
      <c r="I72" s="5">
        <v>4</v>
      </c>
      <c r="J72" s="5">
        <v>140</v>
      </c>
      <c r="K72" s="5">
        <v>26</v>
      </c>
      <c r="L72" s="5">
        <v>37</v>
      </c>
      <c r="M72" s="5">
        <v>2676</v>
      </c>
      <c r="N72" s="5">
        <v>104</v>
      </c>
      <c r="O72" s="7">
        <v>183</v>
      </c>
      <c r="P72" t="s">
        <v>518</v>
      </c>
    </row>
    <row r="73" spans="1:16" x14ac:dyDescent="0.2">
      <c r="A73" s="4" t="s">
        <v>88</v>
      </c>
      <c r="B73" s="4" t="s">
        <v>97</v>
      </c>
      <c r="C73" s="4" t="s">
        <v>15</v>
      </c>
      <c r="D73" s="4" t="s">
        <v>69</v>
      </c>
      <c r="E73" s="4" t="s">
        <v>16</v>
      </c>
      <c r="F73" s="5">
        <v>16385</v>
      </c>
      <c r="G73" s="5">
        <v>15357</v>
      </c>
      <c r="H73" s="6">
        <v>2.2000000000000002</v>
      </c>
      <c r="I73" s="5">
        <v>4</v>
      </c>
      <c r="J73" s="5">
        <v>140</v>
      </c>
      <c r="K73" s="5">
        <v>26</v>
      </c>
      <c r="L73" s="5">
        <v>37</v>
      </c>
      <c r="M73" s="5">
        <v>2617</v>
      </c>
      <c r="N73" s="5">
        <v>104</v>
      </c>
      <c r="O73" s="7">
        <v>183</v>
      </c>
      <c r="P73" t="s">
        <v>517</v>
      </c>
    </row>
    <row r="74" spans="1:16" x14ac:dyDescent="0.2">
      <c r="A74" s="4" t="s">
        <v>88</v>
      </c>
      <c r="B74" s="4" t="s">
        <v>98</v>
      </c>
      <c r="C74" s="4" t="s">
        <v>15</v>
      </c>
      <c r="D74" s="4" t="s">
        <v>69</v>
      </c>
      <c r="E74" s="4" t="s">
        <v>16</v>
      </c>
      <c r="F74" s="5">
        <v>21900</v>
      </c>
      <c r="G74" s="5">
        <v>20095</v>
      </c>
      <c r="H74" s="6">
        <v>3.4</v>
      </c>
      <c r="I74" s="5">
        <v>6</v>
      </c>
      <c r="J74" s="5">
        <v>180</v>
      </c>
      <c r="K74" s="5">
        <v>21</v>
      </c>
      <c r="L74" s="5">
        <v>32</v>
      </c>
      <c r="M74" s="5">
        <v>3465</v>
      </c>
      <c r="N74" s="5">
        <v>111</v>
      </c>
      <c r="O74" s="7">
        <v>200</v>
      </c>
      <c r="P74" t="s">
        <v>518</v>
      </c>
    </row>
    <row r="75" spans="1:16" x14ac:dyDescent="0.2">
      <c r="A75" s="4" t="s">
        <v>88</v>
      </c>
      <c r="B75" s="4" t="s">
        <v>99</v>
      </c>
      <c r="C75" s="4" t="s">
        <v>15</v>
      </c>
      <c r="D75" s="4" t="s">
        <v>69</v>
      </c>
      <c r="E75" s="4" t="s">
        <v>16</v>
      </c>
      <c r="F75" s="5">
        <v>18995</v>
      </c>
      <c r="G75" s="5">
        <v>17434</v>
      </c>
      <c r="H75" s="6">
        <v>2.2000000000000002</v>
      </c>
      <c r="I75" s="5">
        <v>4</v>
      </c>
      <c r="J75" s="5">
        <v>145</v>
      </c>
      <c r="K75" s="5">
        <v>24</v>
      </c>
      <c r="L75" s="5">
        <v>34</v>
      </c>
      <c r="M75" s="5">
        <v>3174</v>
      </c>
      <c r="N75" s="5">
        <v>106</v>
      </c>
      <c r="O75" s="7">
        <v>188</v>
      </c>
      <c r="P75" t="s">
        <v>519</v>
      </c>
    </row>
    <row r="76" spans="1:16" x14ac:dyDescent="0.2">
      <c r="A76" s="4" t="s">
        <v>88</v>
      </c>
      <c r="B76" s="4" t="s">
        <v>100</v>
      </c>
      <c r="C76" s="4" t="s">
        <v>15</v>
      </c>
      <c r="D76" s="4" t="s">
        <v>69</v>
      </c>
      <c r="E76" s="4" t="s">
        <v>16</v>
      </c>
      <c r="F76" s="5">
        <v>20370</v>
      </c>
      <c r="G76" s="5">
        <v>18639</v>
      </c>
      <c r="H76" s="6">
        <v>3.5</v>
      </c>
      <c r="I76" s="5">
        <v>6</v>
      </c>
      <c r="J76" s="5">
        <v>200</v>
      </c>
      <c r="K76" s="5">
        <v>22</v>
      </c>
      <c r="L76" s="5">
        <v>30</v>
      </c>
      <c r="M76" s="5">
        <v>3297</v>
      </c>
      <c r="N76" s="5">
        <v>106</v>
      </c>
      <c r="O76" s="7">
        <v>188</v>
      </c>
    </row>
    <row r="77" spans="1:16" x14ac:dyDescent="0.2">
      <c r="A77" s="4" t="s">
        <v>88</v>
      </c>
      <c r="B77" s="4" t="s">
        <v>101</v>
      </c>
      <c r="C77" s="4" t="s">
        <v>15</v>
      </c>
      <c r="D77" s="4" t="s">
        <v>69</v>
      </c>
      <c r="E77" s="4" t="s">
        <v>16</v>
      </c>
      <c r="F77" s="5">
        <v>21825</v>
      </c>
      <c r="G77" s="5">
        <v>20026</v>
      </c>
      <c r="H77" s="6">
        <v>3.4</v>
      </c>
      <c r="I77" s="5">
        <v>6</v>
      </c>
      <c r="J77" s="5">
        <v>180</v>
      </c>
      <c r="K77" s="5">
        <v>21</v>
      </c>
      <c r="L77" s="5">
        <v>32</v>
      </c>
      <c r="M77" s="5">
        <v>3340</v>
      </c>
      <c r="N77" s="5">
        <v>111</v>
      </c>
      <c r="O77" s="7">
        <v>198</v>
      </c>
    </row>
    <row r="78" spans="1:16" x14ac:dyDescent="0.2">
      <c r="A78" s="4" t="s">
        <v>88</v>
      </c>
      <c r="B78" s="4" t="s">
        <v>102</v>
      </c>
      <c r="C78" s="4" t="s">
        <v>15</v>
      </c>
      <c r="D78" s="4" t="s">
        <v>69</v>
      </c>
      <c r="E78" s="4" t="s">
        <v>16</v>
      </c>
      <c r="F78" s="5">
        <v>25000</v>
      </c>
      <c r="G78" s="5">
        <v>22931</v>
      </c>
      <c r="H78" s="6">
        <v>3.8</v>
      </c>
      <c r="I78" s="5">
        <v>6</v>
      </c>
      <c r="J78" s="5">
        <v>200</v>
      </c>
      <c r="K78" s="5">
        <v>20</v>
      </c>
      <c r="L78" s="5">
        <v>30</v>
      </c>
      <c r="M78" s="5">
        <v>3476</v>
      </c>
      <c r="N78" s="5">
        <v>111</v>
      </c>
      <c r="O78" s="7">
        <v>200</v>
      </c>
    </row>
    <row r="79" spans="1:16" x14ac:dyDescent="0.2">
      <c r="A79" s="4" t="s">
        <v>88</v>
      </c>
      <c r="B79" s="4" t="s">
        <v>103</v>
      </c>
      <c r="C79" s="4" t="s">
        <v>15</v>
      </c>
      <c r="D79" s="4" t="s">
        <v>69</v>
      </c>
      <c r="E79" s="4" t="s">
        <v>16</v>
      </c>
      <c r="F79" s="5">
        <v>27995</v>
      </c>
      <c r="G79" s="5">
        <v>25672</v>
      </c>
      <c r="H79" s="6">
        <v>3.8</v>
      </c>
      <c r="I79" s="5">
        <v>6</v>
      </c>
      <c r="J79" s="5">
        <v>240</v>
      </c>
      <c r="K79" s="5">
        <v>18</v>
      </c>
      <c r="L79" s="5">
        <v>28</v>
      </c>
      <c r="M79" s="5">
        <v>3606</v>
      </c>
      <c r="N79" s="5">
        <v>111</v>
      </c>
      <c r="O79" s="7">
        <v>200</v>
      </c>
    </row>
    <row r="80" spans="1:16" x14ac:dyDescent="0.2">
      <c r="A80" s="4" t="s">
        <v>88</v>
      </c>
      <c r="B80" s="4" t="s">
        <v>104</v>
      </c>
      <c r="C80" s="4" t="s">
        <v>15</v>
      </c>
      <c r="D80" s="4" t="s">
        <v>69</v>
      </c>
      <c r="E80" s="4" t="s">
        <v>16</v>
      </c>
      <c r="F80" s="5">
        <v>23495</v>
      </c>
      <c r="G80" s="5">
        <v>21551</v>
      </c>
      <c r="H80" s="6">
        <v>3.5</v>
      </c>
      <c r="I80" s="5">
        <v>6</v>
      </c>
      <c r="J80" s="5">
        <v>200</v>
      </c>
      <c r="K80" s="5">
        <v>23</v>
      </c>
      <c r="L80" s="5">
        <v>32</v>
      </c>
      <c r="M80" s="5">
        <v>3315</v>
      </c>
      <c r="N80" s="5">
        <v>106</v>
      </c>
      <c r="O80" s="7">
        <v>188</v>
      </c>
      <c r="P80" t="s">
        <v>517</v>
      </c>
    </row>
    <row r="81" spans="1:16" x14ac:dyDescent="0.2">
      <c r="A81" s="4" t="s">
        <v>88</v>
      </c>
      <c r="B81" s="4" t="s">
        <v>105</v>
      </c>
      <c r="C81" s="4" t="s">
        <v>15</v>
      </c>
      <c r="D81" s="4" t="s">
        <v>69</v>
      </c>
      <c r="E81" s="4" t="s">
        <v>16</v>
      </c>
      <c r="F81" s="5">
        <v>24225</v>
      </c>
      <c r="G81" s="5">
        <v>22222</v>
      </c>
      <c r="H81" s="6">
        <v>3.8</v>
      </c>
      <c r="I81" s="5">
        <v>6</v>
      </c>
      <c r="J81" s="5">
        <v>200</v>
      </c>
      <c r="K81" s="5">
        <v>18</v>
      </c>
      <c r="L81" s="5">
        <v>28</v>
      </c>
      <c r="M81" s="5">
        <v>3434</v>
      </c>
      <c r="N81" s="5">
        <v>111</v>
      </c>
      <c r="O81" s="7">
        <v>198</v>
      </c>
      <c r="P81" t="s">
        <v>518</v>
      </c>
    </row>
    <row r="82" spans="1:16" x14ac:dyDescent="0.2">
      <c r="A82" s="4" t="s">
        <v>88</v>
      </c>
      <c r="B82" s="4" t="s">
        <v>106</v>
      </c>
      <c r="C82" s="4" t="s">
        <v>15</v>
      </c>
      <c r="D82" s="4" t="s">
        <v>69</v>
      </c>
      <c r="E82" s="4" t="s">
        <v>13</v>
      </c>
      <c r="F82" s="5">
        <v>26395</v>
      </c>
      <c r="G82" s="5">
        <v>23954</v>
      </c>
      <c r="H82" s="6">
        <v>4.3</v>
      </c>
      <c r="I82" s="5">
        <v>6</v>
      </c>
      <c r="J82" s="5">
        <v>190</v>
      </c>
      <c r="K82" s="5">
        <v>14</v>
      </c>
      <c r="L82" s="5">
        <v>17</v>
      </c>
      <c r="M82" s="5">
        <v>4605</v>
      </c>
      <c r="N82" s="5">
        <v>111</v>
      </c>
      <c r="O82" s="7">
        <v>190</v>
      </c>
      <c r="P82" t="s">
        <v>517</v>
      </c>
    </row>
    <row r="83" spans="1:16" x14ac:dyDescent="0.2">
      <c r="A83" s="4" t="s">
        <v>88</v>
      </c>
      <c r="B83" s="4" t="s">
        <v>107</v>
      </c>
      <c r="C83" s="4" t="s">
        <v>15</v>
      </c>
      <c r="D83" s="4" t="s">
        <v>69</v>
      </c>
      <c r="E83" s="4" t="s">
        <v>16</v>
      </c>
      <c r="F83" s="5">
        <v>27020</v>
      </c>
      <c r="G83" s="5">
        <v>24518</v>
      </c>
      <c r="H83" s="6">
        <v>3.4</v>
      </c>
      <c r="I83" s="5">
        <v>6</v>
      </c>
      <c r="J83" s="5">
        <v>185</v>
      </c>
      <c r="K83" s="5">
        <v>19</v>
      </c>
      <c r="L83" s="5">
        <v>26</v>
      </c>
      <c r="M83" s="5">
        <v>3699</v>
      </c>
      <c r="N83" s="5">
        <v>112</v>
      </c>
      <c r="O83" s="7">
        <v>187</v>
      </c>
      <c r="P83" t="s">
        <v>518</v>
      </c>
    </row>
    <row r="84" spans="1:16" x14ac:dyDescent="0.2">
      <c r="A84" s="4" t="s">
        <v>88</v>
      </c>
      <c r="B84" s="4" t="s">
        <v>108</v>
      </c>
      <c r="C84" s="4" t="s">
        <v>22</v>
      </c>
      <c r="D84" s="4" t="s">
        <v>69</v>
      </c>
      <c r="E84" s="4" t="s">
        <v>23</v>
      </c>
      <c r="F84" s="5">
        <v>44535</v>
      </c>
      <c r="G84" s="5">
        <v>39068</v>
      </c>
      <c r="H84" s="6">
        <v>5.7</v>
      </c>
      <c r="I84" s="5">
        <v>8</v>
      </c>
      <c r="J84" s="5">
        <v>350</v>
      </c>
      <c r="K84" s="5">
        <v>18</v>
      </c>
      <c r="L84" s="5">
        <v>25</v>
      </c>
      <c r="M84" s="5">
        <v>3246</v>
      </c>
      <c r="N84" s="5">
        <v>105</v>
      </c>
      <c r="O84" s="7">
        <v>180</v>
      </c>
      <c r="P84" t="s">
        <v>519</v>
      </c>
    </row>
    <row r="85" spans="1:16" x14ac:dyDescent="0.2">
      <c r="A85" s="4" t="s">
        <v>88</v>
      </c>
      <c r="B85" s="4" t="s">
        <v>109</v>
      </c>
      <c r="C85" s="4" t="s">
        <v>22</v>
      </c>
      <c r="D85" s="4" t="s">
        <v>69</v>
      </c>
      <c r="E85" s="4" t="s">
        <v>23</v>
      </c>
      <c r="F85" s="5">
        <v>51535</v>
      </c>
      <c r="G85" s="5">
        <v>45193</v>
      </c>
      <c r="H85" s="6">
        <v>5.7</v>
      </c>
      <c r="I85" s="5">
        <v>8</v>
      </c>
      <c r="J85" s="5">
        <v>350</v>
      </c>
      <c r="K85" s="5">
        <v>18</v>
      </c>
      <c r="L85" s="5">
        <v>25</v>
      </c>
      <c r="M85" s="5">
        <v>3248</v>
      </c>
      <c r="N85" s="5">
        <v>105</v>
      </c>
      <c r="O85" s="7">
        <v>180</v>
      </c>
    </row>
    <row r="86" spans="1:16" x14ac:dyDescent="0.2">
      <c r="A86" s="4" t="s">
        <v>88</v>
      </c>
      <c r="B86" s="4" t="s">
        <v>110</v>
      </c>
      <c r="C86" s="4" t="s">
        <v>87</v>
      </c>
      <c r="D86" s="4" t="s">
        <v>69</v>
      </c>
      <c r="E86" s="4" t="s">
        <v>13</v>
      </c>
      <c r="F86" s="5">
        <v>36100</v>
      </c>
      <c r="G86" s="5">
        <v>31689</v>
      </c>
      <c r="H86" s="6">
        <v>5.3</v>
      </c>
      <c r="I86" s="5">
        <v>8</v>
      </c>
      <c r="J86" s="5">
        <v>295</v>
      </c>
      <c r="K86" s="5">
        <v>14</v>
      </c>
      <c r="L86" s="5">
        <v>18</v>
      </c>
      <c r="M86" s="5">
        <v>5678</v>
      </c>
      <c r="N86" s="5">
        <v>130</v>
      </c>
      <c r="O86" s="7">
        <v>222</v>
      </c>
    </row>
    <row r="87" spans="1:16" x14ac:dyDescent="0.2">
      <c r="A87" s="4" t="s">
        <v>88</v>
      </c>
      <c r="B87" s="4" t="s">
        <v>111</v>
      </c>
      <c r="C87" s="4" t="s">
        <v>87</v>
      </c>
      <c r="D87" s="4" t="s">
        <v>69</v>
      </c>
      <c r="E87" s="4" t="s">
        <v>13</v>
      </c>
      <c r="F87" s="5">
        <v>18760</v>
      </c>
      <c r="G87" s="5">
        <v>17070</v>
      </c>
      <c r="H87" s="6">
        <v>2.8</v>
      </c>
      <c r="I87" s="5">
        <v>4</v>
      </c>
      <c r="J87" s="5">
        <v>175</v>
      </c>
      <c r="K87" s="5">
        <v>18</v>
      </c>
      <c r="L87" s="5">
        <v>23</v>
      </c>
      <c r="M87" s="5">
        <v>3623</v>
      </c>
      <c r="N87" s="5">
        <v>111</v>
      </c>
      <c r="O87" s="7">
        <v>192</v>
      </c>
      <c r="P87" t="s">
        <v>517</v>
      </c>
    </row>
    <row r="88" spans="1:16" x14ac:dyDescent="0.2">
      <c r="A88" s="4" t="s">
        <v>88</v>
      </c>
      <c r="B88" s="4" t="s">
        <v>112</v>
      </c>
      <c r="C88" s="4" t="s">
        <v>87</v>
      </c>
      <c r="D88" s="4" t="s">
        <v>69</v>
      </c>
      <c r="E88" s="4" t="s">
        <v>23</v>
      </c>
      <c r="F88" s="5">
        <v>20310</v>
      </c>
      <c r="G88" s="5">
        <v>18480</v>
      </c>
      <c r="H88" s="6">
        <v>4.3</v>
      </c>
      <c r="I88" s="5">
        <v>6</v>
      </c>
      <c r="J88" s="5">
        <v>200</v>
      </c>
      <c r="K88" s="5">
        <v>15</v>
      </c>
      <c r="L88" s="5">
        <v>21</v>
      </c>
      <c r="M88" s="5">
        <v>4142</v>
      </c>
      <c r="N88" s="5">
        <v>119</v>
      </c>
      <c r="O88" s="7">
        <v>206</v>
      </c>
      <c r="P88" t="s">
        <v>518</v>
      </c>
    </row>
    <row r="89" spans="1:16" x14ac:dyDescent="0.2">
      <c r="A89" s="4" t="s">
        <v>88</v>
      </c>
      <c r="B89" s="4" t="s">
        <v>113</v>
      </c>
      <c r="C89" s="4" t="s">
        <v>87</v>
      </c>
      <c r="D89" s="4" t="s">
        <v>69</v>
      </c>
      <c r="E89" s="4" t="s">
        <v>13</v>
      </c>
      <c r="F89" s="5">
        <v>40340</v>
      </c>
      <c r="G89" s="5">
        <v>35399</v>
      </c>
      <c r="H89" s="6">
        <v>6</v>
      </c>
      <c r="I89" s="5">
        <v>8</v>
      </c>
      <c r="J89" s="5">
        <v>300</v>
      </c>
      <c r="K89" s="5">
        <v>13</v>
      </c>
      <c r="L89" s="5">
        <v>17</v>
      </c>
      <c r="M89" s="5">
        <v>4804</v>
      </c>
      <c r="N89" s="5">
        <v>144</v>
      </c>
      <c r="O89" s="7">
        <v>238</v>
      </c>
      <c r="P89" t="s">
        <v>519</v>
      </c>
    </row>
    <row r="90" spans="1:16" x14ac:dyDescent="0.2">
      <c r="A90" s="4" t="s">
        <v>88</v>
      </c>
      <c r="B90" s="4" t="s">
        <v>114</v>
      </c>
      <c r="C90" s="4" t="s">
        <v>87</v>
      </c>
      <c r="D90" s="4" t="s">
        <v>69</v>
      </c>
      <c r="E90" s="4" t="s">
        <v>23</v>
      </c>
      <c r="F90" s="5">
        <v>41995</v>
      </c>
      <c r="G90" s="5">
        <v>39306</v>
      </c>
      <c r="H90" s="6">
        <v>5.3</v>
      </c>
      <c r="I90" s="5">
        <v>8</v>
      </c>
      <c r="J90" s="5">
        <v>300</v>
      </c>
      <c r="K90" s="5">
        <v>16</v>
      </c>
      <c r="L90" s="5">
        <v>19</v>
      </c>
      <c r="M90" s="5">
        <v>4760</v>
      </c>
      <c r="N90" s="5">
        <v>116</v>
      </c>
      <c r="O90" s="7">
        <v>191</v>
      </c>
      <c r="P90" t="s">
        <v>520</v>
      </c>
    </row>
    <row r="91" spans="1:16" x14ac:dyDescent="0.2">
      <c r="A91" s="4" t="s">
        <v>88</v>
      </c>
      <c r="B91" s="4" t="s">
        <v>115</v>
      </c>
      <c r="C91" s="4" t="s">
        <v>44</v>
      </c>
      <c r="D91" s="4" t="s">
        <v>69</v>
      </c>
      <c r="E91" s="4" t="s">
        <v>16</v>
      </c>
      <c r="F91" s="5">
        <v>22225</v>
      </c>
      <c r="G91" s="5">
        <v>20394</v>
      </c>
      <c r="H91" s="6">
        <v>3.5</v>
      </c>
      <c r="I91" s="5">
        <v>6</v>
      </c>
      <c r="J91" s="5">
        <v>200</v>
      </c>
      <c r="K91" s="5">
        <v>22</v>
      </c>
      <c r="L91" s="5">
        <v>30</v>
      </c>
      <c r="M91" s="5">
        <v>3458</v>
      </c>
      <c r="N91" s="5">
        <v>112</v>
      </c>
      <c r="O91" s="7">
        <v>188</v>
      </c>
      <c r="P91" t="s">
        <v>519</v>
      </c>
    </row>
    <row r="92" spans="1:16" x14ac:dyDescent="0.2">
      <c r="A92" s="4" t="s">
        <v>116</v>
      </c>
      <c r="B92" s="4" t="s">
        <v>117</v>
      </c>
      <c r="C92" s="4" t="s">
        <v>15</v>
      </c>
      <c r="D92" s="4" t="s">
        <v>69</v>
      </c>
      <c r="E92" s="4" t="s">
        <v>16</v>
      </c>
      <c r="F92" s="5">
        <v>17985</v>
      </c>
      <c r="G92" s="5">
        <v>16919</v>
      </c>
      <c r="H92" s="6">
        <v>2.4</v>
      </c>
      <c r="I92" s="5">
        <v>4</v>
      </c>
      <c r="J92" s="5">
        <v>150</v>
      </c>
      <c r="K92" s="5">
        <v>22</v>
      </c>
      <c r="L92" s="5">
        <v>29</v>
      </c>
      <c r="M92" s="5">
        <v>3101</v>
      </c>
      <c r="N92" s="5">
        <v>103</v>
      </c>
      <c r="O92" s="7">
        <v>169</v>
      </c>
      <c r="P92" t="s">
        <v>518</v>
      </c>
    </row>
    <row r="93" spans="1:16" x14ac:dyDescent="0.2">
      <c r="A93" s="4" t="s">
        <v>116</v>
      </c>
      <c r="B93" s="4" t="s">
        <v>118</v>
      </c>
      <c r="C93" s="4" t="s">
        <v>15</v>
      </c>
      <c r="D93" s="4" t="s">
        <v>69</v>
      </c>
      <c r="E93" s="4" t="s">
        <v>16</v>
      </c>
      <c r="F93" s="5">
        <v>22000</v>
      </c>
      <c r="G93" s="5">
        <v>20573</v>
      </c>
      <c r="H93" s="6">
        <v>2.4</v>
      </c>
      <c r="I93" s="5">
        <v>4</v>
      </c>
      <c r="J93" s="5">
        <v>150</v>
      </c>
      <c r="K93" s="5">
        <v>22</v>
      </c>
      <c r="L93" s="5">
        <v>29</v>
      </c>
      <c r="M93" s="5">
        <v>3105</v>
      </c>
      <c r="N93" s="5">
        <v>103</v>
      </c>
      <c r="O93" s="7">
        <v>169</v>
      </c>
      <c r="P93" t="s">
        <v>517</v>
      </c>
    </row>
    <row r="94" spans="1:16" x14ac:dyDescent="0.2">
      <c r="A94" s="4" t="s">
        <v>116</v>
      </c>
      <c r="B94" s="4" t="s">
        <v>119</v>
      </c>
      <c r="C94" s="4" t="s">
        <v>15</v>
      </c>
      <c r="D94" s="4" t="s">
        <v>69</v>
      </c>
      <c r="E94" s="4" t="s">
        <v>16</v>
      </c>
      <c r="F94" s="5">
        <v>19090</v>
      </c>
      <c r="G94" s="5">
        <v>17805</v>
      </c>
      <c r="H94" s="6">
        <v>2.4</v>
      </c>
      <c r="I94" s="5">
        <v>4</v>
      </c>
      <c r="J94" s="5">
        <v>150</v>
      </c>
      <c r="K94" s="5">
        <v>22</v>
      </c>
      <c r="L94" s="5">
        <v>30</v>
      </c>
      <c r="M94" s="5">
        <v>3173</v>
      </c>
      <c r="N94" s="5">
        <v>108</v>
      </c>
      <c r="O94" s="7">
        <v>191</v>
      </c>
      <c r="P94" t="s">
        <v>518</v>
      </c>
    </row>
    <row r="95" spans="1:16" x14ac:dyDescent="0.2">
      <c r="A95" s="4" t="s">
        <v>116</v>
      </c>
      <c r="B95" s="4" t="s">
        <v>120</v>
      </c>
      <c r="C95" s="4" t="s">
        <v>15</v>
      </c>
      <c r="D95" s="4" t="s">
        <v>69</v>
      </c>
      <c r="E95" s="4" t="s">
        <v>16</v>
      </c>
      <c r="F95" s="5">
        <v>21840</v>
      </c>
      <c r="G95" s="5">
        <v>20284</v>
      </c>
      <c r="H95" s="6">
        <v>2.7</v>
      </c>
      <c r="I95" s="5">
        <v>6</v>
      </c>
      <c r="J95" s="5">
        <v>200</v>
      </c>
      <c r="K95" s="5">
        <v>21</v>
      </c>
      <c r="L95" s="5">
        <v>28</v>
      </c>
      <c r="M95" s="5">
        <v>3222</v>
      </c>
      <c r="N95" s="5">
        <v>108</v>
      </c>
      <c r="O95" s="7">
        <v>191</v>
      </c>
      <c r="P95" t="s">
        <v>519</v>
      </c>
    </row>
    <row r="96" spans="1:16" x14ac:dyDescent="0.2">
      <c r="A96" s="4" t="s">
        <v>116</v>
      </c>
      <c r="B96" s="4" t="s">
        <v>121</v>
      </c>
      <c r="C96" s="4" t="s">
        <v>15</v>
      </c>
      <c r="D96" s="4" t="s">
        <v>69</v>
      </c>
      <c r="E96" s="4" t="s">
        <v>16</v>
      </c>
      <c r="F96" s="5">
        <v>29865</v>
      </c>
      <c r="G96" s="5">
        <v>27797</v>
      </c>
      <c r="H96" s="6">
        <v>3.5</v>
      </c>
      <c r="I96" s="5">
        <v>6</v>
      </c>
      <c r="J96" s="5">
        <v>250</v>
      </c>
      <c r="K96" s="5">
        <v>18</v>
      </c>
      <c r="L96" s="5">
        <v>27</v>
      </c>
      <c r="M96" s="5">
        <v>3581</v>
      </c>
      <c r="N96" s="5">
        <v>113</v>
      </c>
      <c r="O96" s="7">
        <v>198</v>
      </c>
      <c r="P96" t="s">
        <v>520</v>
      </c>
    </row>
    <row r="97" spans="1:16" x14ac:dyDescent="0.2">
      <c r="A97" s="4" t="s">
        <v>116</v>
      </c>
      <c r="B97" s="4" t="s">
        <v>122</v>
      </c>
      <c r="C97" s="4" t="s">
        <v>15</v>
      </c>
      <c r="D97" s="4" t="s">
        <v>69</v>
      </c>
      <c r="E97" s="4" t="s">
        <v>16</v>
      </c>
      <c r="F97" s="5">
        <v>24130</v>
      </c>
      <c r="G97" s="5">
        <v>22452</v>
      </c>
      <c r="H97" s="6">
        <v>2.7</v>
      </c>
      <c r="I97" s="5">
        <v>6</v>
      </c>
      <c r="J97" s="5">
        <v>200</v>
      </c>
      <c r="K97" s="5">
        <v>21</v>
      </c>
      <c r="L97" s="5">
        <v>29</v>
      </c>
      <c r="M97" s="5">
        <v>3479</v>
      </c>
      <c r="N97" s="5">
        <v>113</v>
      </c>
      <c r="O97" s="7">
        <v>208</v>
      </c>
      <c r="P97" t="s">
        <v>520</v>
      </c>
    </row>
    <row r="98" spans="1:16" x14ac:dyDescent="0.2">
      <c r="A98" s="4" t="s">
        <v>116</v>
      </c>
      <c r="B98" s="4" t="s">
        <v>123</v>
      </c>
      <c r="C98" s="4" t="s">
        <v>15</v>
      </c>
      <c r="D98" s="4" t="s">
        <v>69</v>
      </c>
      <c r="E98" s="4" t="s">
        <v>16</v>
      </c>
      <c r="F98" s="5">
        <v>26860</v>
      </c>
      <c r="G98" s="5">
        <v>24909</v>
      </c>
      <c r="H98" s="6">
        <v>3.5</v>
      </c>
      <c r="I98" s="5">
        <v>6</v>
      </c>
      <c r="J98" s="5">
        <v>232</v>
      </c>
      <c r="K98" s="5">
        <v>19</v>
      </c>
      <c r="L98" s="5">
        <v>27</v>
      </c>
      <c r="M98" s="5">
        <v>3548</v>
      </c>
      <c r="N98" s="5">
        <v>113</v>
      </c>
      <c r="O98" s="7">
        <v>208</v>
      </c>
      <c r="P98" t="s">
        <v>519</v>
      </c>
    </row>
    <row r="99" spans="1:16" x14ac:dyDescent="0.2">
      <c r="A99" s="4" t="s">
        <v>116</v>
      </c>
      <c r="B99" s="4" t="s">
        <v>124</v>
      </c>
      <c r="C99" s="4" t="s">
        <v>15</v>
      </c>
      <c r="D99" s="4" t="s">
        <v>69</v>
      </c>
      <c r="E99" s="4" t="s">
        <v>16</v>
      </c>
      <c r="F99" s="5">
        <v>25955</v>
      </c>
      <c r="G99" s="5">
        <v>24172</v>
      </c>
      <c r="H99" s="6">
        <v>2.4</v>
      </c>
      <c r="I99" s="5">
        <v>4</v>
      </c>
      <c r="J99" s="5">
        <v>220</v>
      </c>
      <c r="K99" s="5">
        <v>21</v>
      </c>
      <c r="L99" s="5">
        <v>27</v>
      </c>
      <c r="M99" s="5">
        <v>3217</v>
      </c>
      <c r="N99" s="5">
        <v>103</v>
      </c>
      <c r="O99" s="7">
        <v>169</v>
      </c>
      <c r="P99" t="s">
        <v>520</v>
      </c>
    </row>
    <row r="100" spans="1:16" x14ac:dyDescent="0.2">
      <c r="A100" s="4" t="s">
        <v>116</v>
      </c>
      <c r="B100" s="4" t="s">
        <v>125</v>
      </c>
      <c r="C100" s="4" t="s">
        <v>15</v>
      </c>
      <c r="D100" s="4" t="s">
        <v>69</v>
      </c>
      <c r="E100" s="4" t="s">
        <v>16</v>
      </c>
      <c r="F100" s="5">
        <v>25215</v>
      </c>
      <c r="G100" s="5">
        <v>23451</v>
      </c>
      <c r="H100" s="6">
        <v>2.4</v>
      </c>
      <c r="I100" s="5">
        <v>4</v>
      </c>
      <c r="J100" s="5">
        <v>150</v>
      </c>
      <c r="K100" s="5">
        <v>22</v>
      </c>
      <c r="L100" s="5">
        <v>30</v>
      </c>
      <c r="M100" s="5">
        <v>3357</v>
      </c>
      <c r="N100" s="5">
        <v>106</v>
      </c>
      <c r="O100" s="7">
        <v>194</v>
      </c>
      <c r="P100" t="s">
        <v>519</v>
      </c>
    </row>
    <row r="101" spans="1:16" x14ac:dyDescent="0.2">
      <c r="A101" s="4" t="s">
        <v>116</v>
      </c>
      <c r="B101" s="4" t="s">
        <v>126</v>
      </c>
      <c r="C101" s="4" t="s">
        <v>15</v>
      </c>
      <c r="D101" s="4" t="s">
        <v>69</v>
      </c>
      <c r="E101" s="4" t="s">
        <v>16</v>
      </c>
      <c r="F101" s="5">
        <v>33295</v>
      </c>
      <c r="G101" s="5">
        <v>30884</v>
      </c>
      <c r="H101" s="6">
        <v>3.5</v>
      </c>
      <c r="I101" s="5">
        <v>6</v>
      </c>
      <c r="J101" s="5">
        <v>255</v>
      </c>
      <c r="K101" s="5">
        <v>18</v>
      </c>
      <c r="L101" s="5">
        <v>27</v>
      </c>
      <c r="M101" s="5">
        <v>3650</v>
      </c>
      <c r="N101" s="5">
        <v>113</v>
      </c>
      <c r="O101" s="7">
        <v>198</v>
      </c>
      <c r="P101" t="s">
        <v>518</v>
      </c>
    </row>
    <row r="102" spans="1:16" x14ac:dyDescent="0.2">
      <c r="A102" s="4" t="s">
        <v>116</v>
      </c>
      <c r="B102" s="4" t="s">
        <v>127</v>
      </c>
      <c r="C102" s="4" t="s">
        <v>15</v>
      </c>
      <c r="D102" s="4" t="s">
        <v>69</v>
      </c>
      <c r="E102" s="4" t="s">
        <v>16</v>
      </c>
      <c r="F102" s="5">
        <v>30950</v>
      </c>
      <c r="G102" s="5">
        <v>28613</v>
      </c>
      <c r="H102" s="6">
        <v>2.7</v>
      </c>
      <c r="I102" s="5">
        <v>6</v>
      </c>
      <c r="J102" s="5">
        <v>200</v>
      </c>
      <c r="K102" s="5">
        <v>21</v>
      </c>
      <c r="L102" s="5">
        <v>28</v>
      </c>
      <c r="M102" s="5">
        <v>3448</v>
      </c>
      <c r="N102" s="5">
        <v>106</v>
      </c>
      <c r="O102" s="7">
        <v>194</v>
      </c>
      <c r="P102" t="s">
        <v>517</v>
      </c>
    </row>
    <row r="103" spans="1:16" x14ac:dyDescent="0.2">
      <c r="A103" s="4" t="s">
        <v>116</v>
      </c>
      <c r="B103" s="4" t="s">
        <v>128</v>
      </c>
      <c r="C103" s="4" t="s">
        <v>15</v>
      </c>
      <c r="D103" s="4" t="s">
        <v>69</v>
      </c>
      <c r="E103" s="4" t="s">
        <v>16</v>
      </c>
      <c r="F103" s="5">
        <v>27490</v>
      </c>
      <c r="G103" s="5">
        <v>25371</v>
      </c>
      <c r="H103" s="6">
        <v>3.3</v>
      </c>
      <c r="I103" s="5">
        <v>6</v>
      </c>
      <c r="J103" s="5">
        <v>180</v>
      </c>
      <c r="K103" s="5">
        <v>19</v>
      </c>
      <c r="L103" s="5">
        <v>26</v>
      </c>
      <c r="M103" s="5">
        <v>4068</v>
      </c>
      <c r="N103" s="5">
        <v>119</v>
      </c>
      <c r="O103" s="7">
        <v>201</v>
      </c>
      <c r="P103" t="s">
        <v>518</v>
      </c>
    </row>
    <row r="104" spans="1:16" x14ac:dyDescent="0.2">
      <c r="A104" s="4" t="s">
        <v>116</v>
      </c>
      <c r="B104" s="4" t="s">
        <v>129</v>
      </c>
      <c r="C104" s="4" t="s">
        <v>15</v>
      </c>
      <c r="D104" s="4" t="s">
        <v>69</v>
      </c>
      <c r="E104" s="4" t="s">
        <v>16</v>
      </c>
      <c r="F104" s="5">
        <v>38380</v>
      </c>
      <c r="G104" s="5">
        <v>35063</v>
      </c>
      <c r="H104" s="6">
        <v>3.8</v>
      </c>
      <c r="I104" s="5">
        <v>6</v>
      </c>
      <c r="J104" s="5">
        <v>215</v>
      </c>
      <c r="K104" s="5">
        <v>18</v>
      </c>
      <c r="L104" s="5">
        <v>25</v>
      </c>
      <c r="M104" s="5">
        <v>4331</v>
      </c>
      <c r="N104" s="5">
        <v>119</v>
      </c>
      <c r="O104" s="7">
        <v>201</v>
      </c>
      <c r="P104" t="s">
        <v>519</v>
      </c>
    </row>
    <row r="105" spans="1:16" x14ac:dyDescent="0.2">
      <c r="A105" s="4" t="s">
        <v>116</v>
      </c>
      <c r="B105" s="4" t="s">
        <v>130</v>
      </c>
      <c r="C105" s="4" t="s">
        <v>22</v>
      </c>
      <c r="D105" s="4" t="s">
        <v>69</v>
      </c>
      <c r="E105" s="4" t="s">
        <v>23</v>
      </c>
      <c r="F105" s="5">
        <v>34495</v>
      </c>
      <c r="G105" s="5">
        <v>32033</v>
      </c>
      <c r="H105" s="6">
        <v>3.2</v>
      </c>
      <c r="I105" s="5">
        <v>6</v>
      </c>
      <c r="J105" s="5">
        <v>215</v>
      </c>
      <c r="K105" s="5">
        <v>17</v>
      </c>
      <c r="L105" s="5">
        <v>25</v>
      </c>
      <c r="M105" s="5">
        <v>3060</v>
      </c>
      <c r="N105" s="5">
        <v>95</v>
      </c>
      <c r="O105" s="7">
        <v>160</v>
      </c>
      <c r="P105" t="s">
        <v>520</v>
      </c>
    </row>
    <row r="106" spans="1:16" x14ac:dyDescent="0.2">
      <c r="A106" s="4" t="s">
        <v>116</v>
      </c>
      <c r="B106" s="4" t="s">
        <v>131</v>
      </c>
      <c r="C106" s="4" t="s">
        <v>44</v>
      </c>
      <c r="D106" s="4" t="s">
        <v>69</v>
      </c>
      <c r="E106" s="4" t="s">
        <v>23</v>
      </c>
      <c r="F106" s="5">
        <v>31230</v>
      </c>
      <c r="G106" s="5">
        <v>28725</v>
      </c>
      <c r="H106" s="6">
        <v>3.5</v>
      </c>
      <c r="I106" s="5">
        <v>6</v>
      </c>
      <c r="J106" s="5">
        <v>250</v>
      </c>
      <c r="K106" s="5">
        <v>17</v>
      </c>
      <c r="L106" s="5">
        <v>23</v>
      </c>
      <c r="M106" s="5">
        <v>4675</v>
      </c>
      <c r="N106" s="5">
        <v>116</v>
      </c>
      <c r="O106" s="7">
        <v>199</v>
      </c>
      <c r="P106" t="s">
        <v>520</v>
      </c>
    </row>
    <row r="107" spans="1:16" x14ac:dyDescent="0.2">
      <c r="A107" s="4" t="s">
        <v>132</v>
      </c>
      <c r="B107" s="4" t="s">
        <v>133</v>
      </c>
      <c r="C107" s="4" t="s">
        <v>11</v>
      </c>
      <c r="D107" s="4" t="s">
        <v>69</v>
      </c>
      <c r="E107" s="4" t="s">
        <v>13</v>
      </c>
      <c r="F107" s="5">
        <v>32235</v>
      </c>
      <c r="G107" s="5">
        <v>29472</v>
      </c>
      <c r="H107" s="6">
        <v>4.7</v>
      </c>
      <c r="I107" s="5">
        <v>8</v>
      </c>
      <c r="J107" s="5">
        <v>230</v>
      </c>
      <c r="K107" s="5">
        <v>15</v>
      </c>
      <c r="L107" s="5">
        <v>21</v>
      </c>
      <c r="M107" s="5">
        <v>4987</v>
      </c>
      <c r="N107" s="5">
        <v>119</v>
      </c>
      <c r="O107" s="7">
        <v>201</v>
      </c>
      <c r="P107" t="s">
        <v>519</v>
      </c>
    </row>
    <row r="108" spans="1:16" x14ac:dyDescent="0.2">
      <c r="A108" s="4" t="s">
        <v>132</v>
      </c>
      <c r="B108" s="4" t="s">
        <v>134</v>
      </c>
      <c r="C108" s="4" t="s">
        <v>15</v>
      </c>
      <c r="D108" s="4" t="s">
        <v>69</v>
      </c>
      <c r="E108" s="4" t="s">
        <v>16</v>
      </c>
      <c r="F108" s="5">
        <v>13670</v>
      </c>
      <c r="G108" s="5">
        <v>12849</v>
      </c>
      <c r="H108" s="6">
        <v>2</v>
      </c>
      <c r="I108" s="5">
        <v>4</v>
      </c>
      <c r="J108" s="5">
        <v>132</v>
      </c>
      <c r="K108" s="5">
        <v>29</v>
      </c>
      <c r="L108" s="5">
        <v>36</v>
      </c>
      <c r="M108" s="5">
        <v>2581</v>
      </c>
      <c r="N108" s="5">
        <v>105</v>
      </c>
      <c r="O108" s="7">
        <v>174</v>
      </c>
    </row>
    <row r="109" spans="1:16" x14ac:dyDescent="0.2">
      <c r="A109" s="4" t="s">
        <v>132</v>
      </c>
      <c r="B109" s="4" t="s">
        <v>135</v>
      </c>
      <c r="C109" s="4" t="s">
        <v>15</v>
      </c>
      <c r="D109" s="4" t="s">
        <v>69</v>
      </c>
      <c r="E109" s="4" t="s">
        <v>16</v>
      </c>
      <c r="F109" s="5">
        <v>15040</v>
      </c>
      <c r="G109" s="5">
        <v>14086</v>
      </c>
      <c r="H109" s="6">
        <v>2</v>
      </c>
      <c r="I109" s="5">
        <v>4</v>
      </c>
      <c r="J109" s="5">
        <v>132</v>
      </c>
      <c r="K109" s="5">
        <v>29</v>
      </c>
      <c r="L109" s="5">
        <v>36</v>
      </c>
      <c r="M109" s="5">
        <v>2626</v>
      </c>
      <c r="N109" s="5">
        <v>105</v>
      </c>
      <c r="O109" s="7">
        <v>174</v>
      </c>
    </row>
    <row r="110" spans="1:16" x14ac:dyDescent="0.2">
      <c r="A110" s="4" t="s">
        <v>132</v>
      </c>
      <c r="B110" s="4" t="s">
        <v>136</v>
      </c>
      <c r="C110" s="4" t="s">
        <v>15</v>
      </c>
      <c r="D110" s="4" t="s">
        <v>69</v>
      </c>
      <c r="E110" s="4" t="s">
        <v>16</v>
      </c>
      <c r="F110" s="5">
        <v>22035</v>
      </c>
      <c r="G110" s="5">
        <v>20502</v>
      </c>
      <c r="H110" s="6">
        <v>2.7</v>
      </c>
      <c r="I110" s="5">
        <v>6</v>
      </c>
      <c r="J110" s="5">
        <v>200</v>
      </c>
      <c r="K110" s="5">
        <v>21</v>
      </c>
      <c r="L110" s="5">
        <v>29</v>
      </c>
      <c r="M110" s="5">
        <v>3469</v>
      </c>
      <c r="N110" s="5">
        <v>113</v>
      </c>
      <c r="O110" s="7">
        <v>204</v>
      </c>
      <c r="P110" t="s">
        <v>517</v>
      </c>
    </row>
    <row r="111" spans="1:16" x14ac:dyDescent="0.2">
      <c r="A111" s="4" t="s">
        <v>132</v>
      </c>
      <c r="B111" s="4" t="s">
        <v>137</v>
      </c>
      <c r="C111" s="4" t="s">
        <v>15</v>
      </c>
      <c r="D111" s="4" t="s">
        <v>69</v>
      </c>
      <c r="E111" s="4" t="s">
        <v>16</v>
      </c>
      <c r="F111" s="5">
        <v>18820</v>
      </c>
      <c r="G111" s="5">
        <v>17512</v>
      </c>
      <c r="H111" s="6">
        <v>2.4</v>
      </c>
      <c r="I111" s="5">
        <v>4</v>
      </c>
      <c r="J111" s="5">
        <v>150</v>
      </c>
      <c r="K111" s="5">
        <v>21</v>
      </c>
      <c r="L111" s="5">
        <v>28</v>
      </c>
      <c r="M111" s="5">
        <v>3182</v>
      </c>
      <c r="N111" s="5">
        <v>108</v>
      </c>
      <c r="O111" s="7">
        <v>191</v>
      </c>
      <c r="P111" t="s">
        <v>518</v>
      </c>
    </row>
    <row r="112" spans="1:16" x14ac:dyDescent="0.2">
      <c r="A112" s="4" t="s">
        <v>132</v>
      </c>
      <c r="B112" s="4" t="s">
        <v>138</v>
      </c>
      <c r="C112" s="4" t="s">
        <v>15</v>
      </c>
      <c r="D112" s="4" t="s">
        <v>69</v>
      </c>
      <c r="E112" s="4" t="s">
        <v>16</v>
      </c>
      <c r="F112" s="5">
        <v>20220</v>
      </c>
      <c r="G112" s="5">
        <v>18821</v>
      </c>
      <c r="H112" s="6">
        <v>2.4</v>
      </c>
      <c r="I112" s="5">
        <v>4</v>
      </c>
      <c r="J112" s="5">
        <v>150</v>
      </c>
      <c r="K112" s="5">
        <v>21</v>
      </c>
      <c r="L112" s="5">
        <v>28</v>
      </c>
      <c r="M112" s="5">
        <v>3175</v>
      </c>
      <c r="N112" s="5">
        <v>108</v>
      </c>
      <c r="O112" s="7">
        <v>191</v>
      </c>
      <c r="P112" t="s">
        <v>519</v>
      </c>
    </row>
    <row r="113" spans="1:16" x14ac:dyDescent="0.2">
      <c r="A113" s="4" t="s">
        <v>132</v>
      </c>
      <c r="B113" s="4" t="s">
        <v>139</v>
      </c>
      <c r="C113" s="4" t="s">
        <v>15</v>
      </c>
      <c r="D113" s="4" t="s">
        <v>69</v>
      </c>
      <c r="E113" s="4" t="s">
        <v>16</v>
      </c>
      <c r="F113" s="5">
        <v>24885</v>
      </c>
      <c r="G113" s="5">
        <v>23058</v>
      </c>
      <c r="H113" s="6">
        <v>3.5</v>
      </c>
      <c r="I113" s="5">
        <v>6</v>
      </c>
      <c r="J113" s="5">
        <v>232</v>
      </c>
      <c r="K113" s="5">
        <v>18</v>
      </c>
      <c r="L113" s="5">
        <v>27</v>
      </c>
      <c r="M113" s="5">
        <v>3487</v>
      </c>
      <c r="N113" s="5">
        <v>113</v>
      </c>
      <c r="O113" s="7">
        <v>204</v>
      </c>
      <c r="P113" t="s">
        <v>520</v>
      </c>
    </row>
    <row r="114" spans="1:16" x14ac:dyDescent="0.2">
      <c r="A114" s="4" t="s">
        <v>132</v>
      </c>
      <c r="B114" s="4" t="s">
        <v>140</v>
      </c>
      <c r="C114" s="4" t="s">
        <v>15</v>
      </c>
      <c r="D114" s="4" t="s">
        <v>69</v>
      </c>
      <c r="E114" s="4" t="s">
        <v>16</v>
      </c>
      <c r="F114" s="5">
        <v>21795</v>
      </c>
      <c r="G114" s="5">
        <v>20508</v>
      </c>
      <c r="H114" s="6">
        <v>2.4</v>
      </c>
      <c r="I114" s="5">
        <v>4</v>
      </c>
      <c r="J114" s="5">
        <v>150</v>
      </c>
      <c r="K114" s="5">
        <v>20</v>
      </c>
      <c r="L114" s="5">
        <v>26</v>
      </c>
      <c r="M114" s="5">
        <v>3862</v>
      </c>
      <c r="N114" s="5">
        <v>113</v>
      </c>
      <c r="O114" s="7">
        <v>189</v>
      </c>
      <c r="P114" t="s">
        <v>519</v>
      </c>
    </row>
    <row r="115" spans="1:16" x14ac:dyDescent="0.2">
      <c r="A115" s="4" t="s">
        <v>132</v>
      </c>
      <c r="B115" s="4" t="s">
        <v>141</v>
      </c>
      <c r="C115" s="4" t="s">
        <v>15</v>
      </c>
      <c r="D115" s="4" t="s">
        <v>69</v>
      </c>
      <c r="E115" s="4" t="s">
        <v>13</v>
      </c>
      <c r="F115" s="5">
        <v>32660</v>
      </c>
      <c r="G115" s="5">
        <v>29812</v>
      </c>
      <c r="H115" s="6">
        <v>3.8</v>
      </c>
      <c r="I115" s="5">
        <v>6</v>
      </c>
      <c r="J115" s="5">
        <v>215</v>
      </c>
      <c r="K115" s="5">
        <v>18</v>
      </c>
      <c r="L115" s="5">
        <v>25</v>
      </c>
      <c r="M115" s="5">
        <v>4440</v>
      </c>
      <c r="N115" s="5">
        <v>119</v>
      </c>
      <c r="O115" s="7">
        <v>201</v>
      </c>
      <c r="P115" t="s">
        <v>518</v>
      </c>
    </row>
    <row r="116" spans="1:16" x14ac:dyDescent="0.2">
      <c r="A116" s="4" t="s">
        <v>132</v>
      </c>
      <c r="B116" s="4" t="s">
        <v>142</v>
      </c>
      <c r="C116" s="4" t="s">
        <v>22</v>
      </c>
      <c r="D116" s="4" t="s">
        <v>69</v>
      </c>
      <c r="E116" s="4" t="s">
        <v>23</v>
      </c>
      <c r="F116" s="5">
        <v>81795</v>
      </c>
      <c r="G116" s="5">
        <v>74451</v>
      </c>
      <c r="H116" s="6">
        <v>8.3000000000000007</v>
      </c>
      <c r="I116" s="5">
        <v>10</v>
      </c>
      <c r="J116" s="5">
        <v>500</v>
      </c>
      <c r="K116" s="5">
        <v>12</v>
      </c>
      <c r="L116" s="5">
        <v>20</v>
      </c>
      <c r="M116" s="5">
        <v>3410</v>
      </c>
      <c r="N116" s="5">
        <v>99</v>
      </c>
      <c r="O116" s="7">
        <v>176</v>
      </c>
      <c r="P116" t="s">
        <v>517</v>
      </c>
    </row>
    <row r="117" spans="1:16" x14ac:dyDescent="0.2">
      <c r="A117" s="4" t="s">
        <v>132</v>
      </c>
      <c r="B117" s="4" t="s">
        <v>143</v>
      </c>
      <c r="C117" s="4" t="s">
        <v>87</v>
      </c>
      <c r="D117" s="4" t="s">
        <v>69</v>
      </c>
      <c r="E117" s="4" t="s">
        <v>23</v>
      </c>
      <c r="F117" s="5">
        <v>17630</v>
      </c>
      <c r="G117" s="5">
        <v>16264</v>
      </c>
      <c r="H117" s="6">
        <v>3.7</v>
      </c>
      <c r="I117" s="5">
        <v>6</v>
      </c>
      <c r="J117" s="5">
        <v>210</v>
      </c>
      <c r="K117" s="5">
        <v>16</v>
      </c>
      <c r="L117" s="5">
        <v>22</v>
      </c>
      <c r="M117" s="5">
        <v>3714</v>
      </c>
      <c r="N117" s="5">
        <v>112</v>
      </c>
      <c r="O117" s="7">
        <v>193</v>
      </c>
      <c r="P117" t="s">
        <v>518</v>
      </c>
    </row>
    <row r="118" spans="1:16" x14ac:dyDescent="0.2">
      <c r="A118" s="4" t="s">
        <v>132</v>
      </c>
      <c r="B118" s="4" t="s">
        <v>144</v>
      </c>
      <c r="C118" s="4" t="s">
        <v>87</v>
      </c>
      <c r="D118" s="4" t="s">
        <v>69</v>
      </c>
      <c r="E118" s="4" t="s">
        <v>23</v>
      </c>
      <c r="F118" s="5">
        <v>20300</v>
      </c>
      <c r="G118" s="5">
        <v>18670</v>
      </c>
      <c r="H118" s="6">
        <v>3.7</v>
      </c>
      <c r="I118" s="5">
        <v>6</v>
      </c>
      <c r="J118" s="5">
        <v>210</v>
      </c>
      <c r="K118" s="5">
        <v>16</v>
      </c>
      <c r="L118" s="5">
        <v>22</v>
      </c>
      <c r="M118" s="5">
        <v>3829</v>
      </c>
      <c r="N118" s="5">
        <v>131</v>
      </c>
      <c r="O118" s="7">
        <v>219</v>
      </c>
      <c r="P118" t="s">
        <v>517</v>
      </c>
    </row>
    <row r="119" spans="1:16" x14ac:dyDescent="0.2">
      <c r="A119" s="4" t="s">
        <v>132</v>
      </c>
      <c r="B119" s="4" t="s">
        <v>145</v>
      </c>
      <c r="C119" s="4" t="s">
        <v>87</v>
      </c>
      <c r="D119" s="4" t="s">
        <v>69</v>
      </c>
      <c r="E119" s="4" t="s">
        <v>23</v>
      </c>
      <c r="F119" s="5">
        <v>20215</v>
      </c>
      <c r="G119" s="5">
        <v>18076</v>
      </c>
      <c r="H119" s="6">
        <v>3.7</v>
      </c>
      <c r="I119" s="5">
        <v>6</v>
      </c>
      <c r="J119" s="5">
        <v>215</v>
      </c>
      <c r="K119" s="5">
        <v>16</v>
      </c>
      <c r="L119" s="5">
        <v>21</v>
      </c>
      <c r="M119" s="5">
        <v>4542</v>
      </c>
      <c r="N119" s="5">
        <v>121</v>
      </c>
      <c r="O119" s="7">
        <v>208</v>
      </c>
      <c r="P119" t="s">
        <v>518</v>
      </c>
    </row>
    <row r="120" spans="1:16" x14ac:dyDescent="0.2">
      <c r="A120" s="4" t="s">
        <v>146</v>
      </c>
      <c r="B120" s="4" t="s">
        <v>147</v>
      </c>
      <c r="C120" s="4" t="s">
        <v>11</v>
      </c>
      <c r="D120" s="4" t="s">
        <v>69</v>
      </c>
      <c r="E120" s="4" t="s">
        <v>13</v>
      </c>
      <c r="F120" s="5">
        <v>41475</v>
      </c>
      <c r="G120" s="5">
        <v>36494</v>
      </c>
      <c r="H120" s="6">
        <v>6.8</v>
      </c>
      <c r="I120" s="5">
        <v>10</v>
      </c>
      <c r="J120" s="5">
        <v>310</v>
      </c>
      <c r="K120" s="5">
        <v>10</v>
      </c>
      <c r="L120" s="5">
        <v>13</v>
      </c>
      <c r="M120" s="5">
        <v>7190</v>
      </c>
      <c r="N120" s="5">
        <v>137</v>
      </c>
      <c r="O120" s="7">
        <v>227</v>
      </c>
      <c r="P120" t="s">
        <v>519</v>
      </c>
    </row>
    <row r="121" spans="1:16" x14ac:dyDescent="0.2">
      <c r="A121" s="4" t="s">
        <v>146</v>
      </c>
      <c r="B121" s="4" t="s">
        <v>148</v>
      </c>
      <c r="C121" s="4" t="s">
        <v>11</v>
      </c>
      <c r="D121" s="4" t="s">
        <v>69</v>
      </c>
      <c r="E121" s="4" t="s">
        <v>16</v>
      </c>
      <c r="F121" s="5">
        <v>34560</v>
      </c>
      <c r="G121" s="5">
        <v>30468</v>
      </c>
      <c r="H121" s="6">
        <v>4.5999999999999996</v>
      </c>
      <c r="I121" s="5">
        <v>8</v>
      </c>
      <c r="J121" s="5">
        <v>232</v>
      </c>
      <c r="K121" s="5">
        <v>15</v>
      </c>
      <c r="L121" s="5">
        <v>19</v>
      </c>
      <c r="M121" s="5">
        <v>5000</v>
      </c>
      <c r="N121" s="5">
        <v>119</v>
      </c>
      <c r="O121" s="7">
        <v>206</v>
      </c>
      <c r="P121" t="s">
        <v>520</v>
      </c>
    </row>
    <row r="122" spans="1:16" x14ac:dyDescent="0.2">
      <c r="A122" s="4" t="s">
        <v>146</v>
      </c>
      <c r="B122" s="4" t="s">
        <v>149</v>
      </c>
      <c r="C122" s="4" t="s">
        <v>11</v>
      </c>
      <c r="D122" s="4" t="s">
        <v>69</v>
      </c>
      <c r="E122" s="4" t="s">
        <v>13</v>
      </c>
      <c r="F122" s="5">
        <v>29670</v>
      </c>
      <c r="G122" s="5">
        <v>26983</v>
      </c>
      <c r="H122" s="6">
        <v>4</v>
      </c>
      <c r="I122" s="5">
        <v>6</v>
      </c>
      <c r="J122" s="5">
        <v>210</v>
      </c>
      <c r="K122" s="5">
        <v>15</v>
      </c>
      <c r="L122" s="5">
        <v>20</v>
      </c>
      <c r="M122" s="5">
        <v>4463</v>
      </c>
      <c r="N122" s="5">
        <v>114</v>
      </c>
      <c r="O122" s="7">
        <v>190</v>
      </c>
      <c r="P122" t="s">
        <v>519</v>
      </c>
    </row>
    <row r="123" spans="1:16" x14ac:dyDescent="0.2">
      <c r="A123" s="4" t="s">
        <v>146</v>
      </c>
      <c r="B123" s="4" t="s">
        <v>150</v>
      </c>
      <c r="C123" s="4" t="s">
        <v>11</v>
      </c>
      <c r="D123" s="4" t="s">
        <v>69</v>
      </c>
      <c r="E123" s="4" t="s">
        <v>13</v>
      </c>
      <c r="F123" s="5">
        <v>22515</v>
      </c>
      <c r="G123" s="5">
        <v>20907</v>
      </c>
      <c r="H123" s="6">
        <v>3</v>
      </c>
      <c r="I123" s="5">
        <v>6</v>
      </c>
      <c r="J123" s="5">
        <v>201</v>
      </c>
      <c r="K123" s="5">
        <v>18</v>
      </c>
      <c r="L123" s="5">
        <v>23</v>
      </c>
      <c r="M123" s="5">
        <v>3346</v>
      </c>
      <c r="N123" s="5">
        <v>103</v>
      </c>
      <c r="O123" s="7">
        <v>173</v>
      </c>
      <c r="P123" t="s">
        <v>518</v>
      </c>
    </row>
    <row r="124" spans="1:16" x14ac:dyDescent="0.2">
      <c r="A124" s="4" t="s">
        <v>146</v>
      </c>
      <c r="B124" s="4" t="s">
        <v>151</v>
      </c>
      <c r="C124" s="4" t="s">
        <v>15</v>
      </c>
      <c r="D124" s="4" t="s">
        <v>69</v>
      </c>
      <c r="E124" s="4" t="s">
        <v>16</v>
      </c>
      <c r="F124" s="5">
        <v>13270</v>
      </c>
      <c r="G124" s="5">
        <v>12482</v>
      </c>
      <c r="H124" s="6">
        <v>2</v>
      </c>
      <c r="I124" s="5">
        <v>4</v>
      </c>
      <c r="J124" s="5">
        <v>130</v>
      </c>
      <c r="K124" s="5">
        <v>26</v>
      </c>
      <c r="L124" s="5">
        <v>33</v>
      </c>
      <c r="M124" s="5">
        <v>2612</v>
      </c>
      <c r="N124" s="5">
        <v>103</v>
      </c>
      <c r="O124" s="7">
        <v>168</v>
      </c>
      <c r="P124" t="s">
        <v>517</v>
      </c>
    </row>
    <row r="125" spans="1:16" x14ac:dyDescent="0.2">
      <c r="A125" s="4" t="s">
        <v>146</v>
      </c>
      <c r="B125" s="4" t="s">
        <v>152</v>
      </c>
      <c r="C125" s="4" t="s">
        <v>15</v>
      </c>
      <c r="D125" s="4" t="s">
        <v>69</v>
      </c>
      <c r="E125" s="4" t="s">
        <v>16</v>
      </c>
      <c r="F125" s="5">
        <v>13730</v>
      </c>
      <c r="G125" s="5">
        <v>12906</v>
      </c>
      <c r="H125" s="6">
        <v>2</v>
      </c>
      <c r="I125" s="5">
        <v>4</v>
      </c>
      <c r="J125" s="5">
        <v>110</v>
      </c>
      <c r="K125" s="5">
        <v>27</v>
      </c>
      <c r="L125" s="5">
        <v>36</v>
      </c>
      <c r="M125" s="5">
        <v>2606</v>
      </c>
      <c r="N125" s="5">
        <v>103</v>
      </c>
      <c r="O125" s="7">
        <v>168</v>
      </c>
    </row>
    <row r="126" spans="1:16" x14ac:dyDescent="0.2">
      <c r="A126" s="4" t="s">
        <v>146</v>
      </c>
      <c r="B126" s="4" t="s">
        <v>153</v>
      </c>
      <c r="C126" s="4" t="s">
        <v>15</v>
      </c>
      <c r="D126" s="4" t="s">
        <v>69</v>
      </c>
      <c r="E126" s="4" t="s">
        <v>16</v>
      </c>
      <c r="F126" s="5">
        <v>15460</v>
      </c>
      <c r="G126" s="5">
        <v>14496</v>
      </c>
      <c r="H126" s="6">
        <v>2</v>
      </c>
      <c r="I126" s="5">
        <v>4</v>
      </c>
      <c r="J126" s="5">
        <v>130</v>
      </c>
      <c r="K126" s="5">
        <v>26</v>
      </c>
      <c r="L126" s="5">
        <v>33</v>
      </c>
      <c r="M126" s="5">
        <v>2606</v>
      </c>
      <c r="N126" s="5">
        <v>103</v>
      </c>
      <c r="O126" s="7">
        <v>168</v>
      </c>
    </row>
    <row r="127" spans="1:16" x14ac:dyDescent="0.2">
      <c r="A127" s="4" t="s">
        <v>146</v>
      </c>
      <c r="B127" s="4" t="s">
        <v>154</v>
      </c>
      <c r="C127" s="4" t="s">
        <v>15</v>
      </c>
      <c r="D127" s="4" t="s">
        <v>69</v>
      </c>
      <c r="E127" s="4" t="s">
        <v>16</v>
      </c>
      <c r="F127" s="5">
        <v>15580</v>
      </c>
      <c r="G127" s="5">
        <v>14607</v>
      </c>
      <c r="H127" s="6">
        <v>2</v>
      </c>
      <c r="I127" s="5">
        <v>4</v>
      </c>
      <c r="J127" s="5">
        <v>130</v>
      </c>
      <c r="K127" s="5">
        <v>26</v>
      </c>
      <c r="L127" s="5">
        <v>33</v>
      </c>
      <c r="M127" s="5">
        <v>2691</v>
      </c>
      <c r="N127" s="5">
        <v>103</v>
      </c>
      <c r="O127" s="7">
        <v>168</v>
      </c>
    </row>
    <row r="128" spans="1:16" x14ac:dyDescent="0.2">
      <c r="A128" s="4" t="s">
        <v>146</v>
      </c>
      <c r="B128" s="4" t="s">
        <v>155</v>
      </c>
      <c r="C128" s="4" t="s">
        <v>15</v>
      </c>
      <c r="D128" s="4" t="s">
        <v>69</v>
      </c>
      <c r="E128" s="4" t="s">
        <v>16</v>
      </c>
      <c r="F128" s="5">
        <v>19135</v>
      </c>
      <c r="G128" s="5">
        <v>17878</v>
      </c>
      <c r="H128" s="6">
        <v>2</v>
      </c>
      <c r="I128" s="5">
        <v>4</v>
      </c>
      <c r="J128" s="5">
        <v>170</v>
      </c>
      <c r="K128" s="5">
        <v>21</v>
      </c>
      <c r="L128" s="5">
        <v>28</v>
      </c>
      <c r="M128" s="5">
        <v>2750</v>
      </c>
      <c r="N128" s="5">
        <v>103</v>
      </c>
      <c r="O128" s="7">
        <v>168</v>
      </c>
      <c r="P128" t="s">
        <v>517</v>
      </c>
    </row>
    <row r="129" spans="1:16" x14ac:dyDescent="0.2">
      <c r="A129" s="4" t="s">
        <v>146</v>
      </c>
      <c r="B129" s="4" t="s">
        <v>156</v>
      </c>
      <c r="C129" s="4" t="s">
        <v>15</v>
      </c>
      <c r="D129" s="4" t="s">
        <v>69</v>
      </c>
      <c r="E129" s="4" t="s">
        <v>16</v>
      </c>
      <c r="F129" s="5">
        <v>20320</v>
      </c>
      <c r="G129" s="5">
        <v>18881</v>
      </c>
      <c r="H129" s="6">
        <v>3</v>
      </c>
      <c r="I129" s="5">
        <v>6</v>
      </c>
      <c r="J129" s="5">
        <v>155</v>
      </c>
      <c r="K129" s="5">
        <v>20</v>
      </c>
      <c r="L129" s="5">
        <v>27</v>
      </c>
      <c r="M129" s="5">
        <v>3306</v>
      </c>
      <c r="N129" s="5">
        <v>109</v>
      </c>
      <c r="O129" s="7">
        <v>198</v>
      </c>
      <c r="P129" t="s">
        <v>518</v>
      </c>
    </row>
    <row r="130" spans="1:16" x14ac:dyDescent="0.2">
      <c r="A130" s="4" t="s">
        <v>146</v>
      </c>
      <c r="B130" s="4" t="s">
        <v>157</v>
      </c>
      <c r="C130" s="4" t="s">
        <v>15</v>
      </c>
      <c r="D130" s="4" t="s">
        <v>69</v>
      </c>
      <c r="E130" s="4" t="s">
        <v>16</v>
      </c>
      <c r="F130" s="5">
        <v>22735</v>
      </c>
      <c r="G130" s="5">
        <v>20857</v>
      </c>
      <c r="H130" s="6">
        <v>3</v>
      </c>
      <c r="I130" s="5">
        <v>6</v>
      </c>
      <c r="J130" s="5">
        <v>201</v>
      </c>
      <c r="K130" s="5">
        <v>19</v>
      </c>
      <c r="L130" s="5">
        <v>26</v>
      </c>
      <c r="M130" s="5">
        <v>3313</v>
      </c>
      <c r="N130" s="5">
        <v>109</v>
      </c>
      <c r="O130" s="7">
        <v>198</v>
      </c>
      <c r="P130" t="s">
        <v>519</v>
      </c>
    </row>
    <row r="131" spans="1:16" x14ac:dyDescent="0.2">
      <c r="A131" s="4" t="s">
        <v>146</v>
      </c>
      <c r="B131" s="4" t="s">
        <v>158</v>
      </c>
      <c r="C131" s="4" t="s">
        <v>15</v>
      </c>
      <c r="D131" s="4" t="s">
        <v>69</v>
      </c>
      <c r="E131" s="4" t="s">
        <v>23</v>
      </c>
      <c r="F131" s="5">
        <v>24345</v>
      </c>
      <c r="G131" s="5">
        <v>22856</v>
      </c>
      <c r="H131" s="6">
        <v>4.5999999999999996</v>
      </c>
      <c r="I131" s="5">
        <v>8</v>
      </c>
      <c r="J131" s="5">
        <v>224</v>
      </c>
      <c r="K131" s="5">
        <v>17</v>
      </c>
      <c r="L131" s="5">
        <v>25</v>
      </c>
      <c r="M131" s="5">
        <v>4057</v>
      </c>
      <c r="N131" s="5">
        <v>115</v>
      </c>
      <c r="O131" s="7">
        <v>212</v>
      </c>
      <c r="P131" t="s">
        <v>520</v>
      </c>
    </row>
    <row r="132" spans="1:16" x14ac:dyDescent="0.2">
      <c r="A132" s="4" t="s">
        <v>146</v>
      </c>
      <c r="B132" s="4" t="s">
        <v>159</v>
      </c>
      <c r="C132" s="4" t="s">
        <v>15</v>
      </c>
      <c r="D132" s="4" t="s">
        <v>69</v>
      </c>
      <c r="E132" s="4" t="s">
        <v>23</v>
      </c>
      <c r="F132" s="5">
        <v>27370</v>
      </c>
      <c r="G132" s="5">
        <v>25105</v>
      </c>
      <c r="H132" s="6">
        <v>4.5999999999999996</v>
      </c>
      <c r="I132" s="5">
        <v>8</v>
      </c>
      <c r="J132" s="5">
        <v>224</v>
      </c>
      <c r="K132" s="5">
        <v>17</v>
      </c>
      <c r="L132" s="5">
        <v>25</v>
      </c>
      <c r="M132" s="5">
        <v>4057</v>
      </c>
      <c r="N132" s="5">
        <v>115</v>
      </c>
      <c r="O132" s="7">
        <v>212</v>
      </c>
      <c r="P132" t="s">
        <v>519</v>
      </c>
    </row>
    <row r="133" spans="1:16" x14ac:dyDescent="0.2">
      <c r="A133" s="4" t="s">
        <v>146</v>
      </c>
      <c r="B133" s="4" t="s">
        <v>160</v>
      </c>
      <c r="C133" s="4" t="s">
        <v>15</v>
      </c>
      <c r="D133" s="4" t="s">
        <v>69</v>
      </c>
      <c r="E133" s="4" t="s">
        <v>23</v>
      </c>
      <c r="F133" s="5">
        <v>30315</v>
      </c>
      <c r="G133" s="5">
        <v>27756</v>
      </c>
      <c r="H133" s="6">
        <v>4.5999999999999996</v>
      </c>
      <c r="I133" s="5">
        <v>8</v>
      </c>
      <c r="J133" s="5">
        <v>239</v>
      </c>
      <c r="K133" s="5">
        <v>17</v>
      </c>
      <c r="L133" s="5">
        <v>25</v>
      </c>
      <c r="M133" s="5">
        <v>4057</v>
      </c>
      <c r="N133" s="5">
        <v>115</v>
      </c>
      <c r="O133" s="7">
        <v>212</v>
      </c>
      <c r="P133" t="s">
        <v>518</v>
      </c>
    </row>
    <row r="134" spans="1:16" x14ac:dyDescent="0.2">
      <c r="A134" s="4" t="s">
        <v>146</v>
      </c>
      <c r="B134" s="4" t="s">
        <v>161</v>
      </c>
      <c r="C134" s="4" t="s">
        <v>15</v>
      </c>
      <c r="D134" s="4" t="s">
        <v>69</v>
      </c>
      <c r="E134" s="4" t="s">
        <v>16</v>
      </c>
      <c r="F134" s="5">
        <v>26930</v>
      </c>
      <c r="G134" s="5">
        <v>24498</v>
      </c>
      <c r="H134" s="6">
        <v>3.9</v>
      </c>
      <c r="I134" s="5">
        <v>6</v>
      </c>
      <c r="J134" s="5">
        <v>193</v>
      </c>
      <c r="K134" s="5">
        <v>17</v>
      </c>
      <c r="L134" s="5">
        <v>23</v>
      </c>
      <c r="M134" s="5">
        <v>4275</v>
      </c>
      <c r="N134" s="5">
        <v>121</v>
      </c>
      <c r="O134" s="7">
        <v>201</v>
      </c>
      <c r="P134" t="s">
        <v>517</v>
      </c>
    </row>
    <row r="135" spans="1:16" x14ac:dyDescent="0.2">
      <c r="A135" s="4" t="s">
        <v>146</v>
      </c>
      <c r="B135" s="4" t="s">
        <v>162</v>
      </c>
      <c r="C135" s="4" t="s">
        <v>22</v>
      </c>
      <c r="D135" s="4" t="s">
        <v>69</v>
      </c>
      <c r="E135" s="4" t="s">
        <v>23</v>
      </c>
      <c r="F135" s="5">
        <v>18345</v>
      </c>
      <c r="G135" s="5">
        <v>16943</v>
      </c>
      <c r="H135" s="6">
        <v>3.8</v>
      </c>
      <c r="I135" s="5">
        <v>6</v>
      </c>
      <c r="J135" s="5">
        <v>193</v>
      </c>
      <c r="K135" s="5">
        <v>20</v>
      </c>
      <c r="L135" s="5">
        <v>29</v>
      </c>
      <c r="M135" s="5">
        <v>3290</v>
      </c>
      <c r="N135" s="5">
        <v>101</v>
      </c>
      <c r="O135" s="7">
        <v>183</v>
      </c>
      <c r="P135" t="s">
        <v>518</v>
      </c>
    </row>
    <row r="136" spans="1:16" x14ac:dyDescent="0.2">
      <c r="A136" s="4" t="s">
        <v>146</v>
      </c>
      <c r="B136" s="4" t="s">
        <v>163</v>
      </c>
      <c r="C136" s="4" t="s">
        <v>22</v>
      </c>
      <c r="D136" s="4" t="s">
        <v>69</v>
      </c>
      <c r="E136" s="4" t="s">
        <v>23</v>
      </c>
      <c r="F136" s="5">
        <v>29380</v>
      </c>
      <c r="G136" s="5">
        <v>26875</v>
      </c>
      <c r="H136" s="6">
        <v>4.5999999999999996</v>
      </c>
      <c r="I136" s="5">
        <v>8</v>
      </c>
      <c r="J136" s="5">
        <v>260</v>
      </c>
      <c r="K136" s="5">
        <v>17</v>
      </c>
      <c r="L136" s="5">
        <v>25</v>
      </c>
      <c r="M136" s="5">
        <v>3347</v>
      </c>
      <c r="N136" s="5">
        <v>101</v>
      </c>
      <c r="O136" s="7">
        <v>183</v>
      </c>
      <c r="P136" t="s">
        <v>519</v>
      </c>
    </row>
    <row r="137" spans="1:16" x14ac:dyDescent="0.2">
      <c r="A137" s="4" t="s">
        <v>146</v>
      </c>
      <c r="B137" s="4" t="s">
        <v>164</v>
      </c>
      <c r="C137" s="4" t="s">
        <v>22</v>
      </c>
      <c r="D137" s="4" t="s">
        <v>69</v>
      </c>
      <c r="E137" s="4" t="s">
        <v>16</v>
      </c>
      <c r="F137" s="5">
        <v>37530</v>
      </c>
      <c r="G137" s="5">
        <v>34483</v>
      </c>
      <c r="H137" s="6">
        <v>3.9</v>
      </c>
      <c r="I137" s="5">
        <v>8</v>
      </c>
      <c r="J137" s="5">
        <v>280</v>
      </c>
      <c r="K137" s="5">
        <v>17</v>
      </c>
      <c r="L137" s="5">
        <v>24</v>
      </c>
      <c r="M137" s="5">
        <v>3780</v>
      </c>
      <c r="N137" s="5">
        <v>107</v>
      </c>
      <c r="O137" s="7">
        <v>186</v>
      </c>
      <c r="P137" t="s">
        <v>520</v>
      </c>
    </row>
    <row r="138" spans="1:16" x14ac:dyDescent="0.2">
      <c r="A138" s="4" t="s">
        <v>146</v>
      </c>
      <c r="B138" s="4" t="s">
        <v>165</v>
      </c>
      <c r="C138" s="4" t="s">
        <v>87</v>
      </c>
      <c r="D138" s="4" t="s">
        <v>69</v>
      </c>
      <c r="E138" s="4" t="s">
        <v>23</v>
      </c>
      <c r="F138" s="5">
        <v>22010</v>
      </c>
      <c r="G138" s="5">
        <v>19490</v>
      </c>
      <c r="H138" s="6">
        <v>4.5999999999999996</v>
      </c>
      <c r="I138" s="5">
        <v>8</v>
      </c>
      <c r="J138" s="5">
        <v>231</v>
      </c>
      <c r="K138" s="5">
        <v>15</v>
      </c>
      <c r="L138" s="5">
        <v>19</v>
      </c>
      <c r="M138" s="5">
        <v>4788</v>
      </c>
      <c r="N138" s="5">
        <v>126</v>
      </c>
      <c r="O138" s="7">
        <v>211</v>
      </c>
      <c r="P138" t="s">
        <v>520</v>
      </c>
    </row>
    <row r="139" spans="1:16" x14ac:dyDescent="0.2">
      <c r="A139" s="4" t="s">
        <v>146</v>
      </c>
      <c r="B139" s="4" t="s">
        <v>166</v>
      </c>
      <c r="C139" s="4" t="s">
        <v>87</v>
      </c>
      <c r="D139" s="4" t="s">
        <v>69</v>
      </c>
      <c r="E139" s="4" t="s">
        <v>13</v>
      </c>
      <c r="F139" s="5">
        <v>33540</v>
      </c>
      <c r="G139" s="5">
        <v>29405</v>
      </c>
      <c r="H139" s="6">
        <v>5.4</v>
      </c>
      <c r="I139" s="5">
        <v>8</v>
      </c>
      <c r="J139" s="5">
        <v>300</v>
      </c>
      <c r="K139" s="5">
        <v>14</v>
      </c>
      <c r="L139" s="5">
        <v>18</v>
      </c>
      <c r="M139" s="5">
        <v>5464</v>
      </c>
      <c r="N139" s="5">
        <v>133</v>
      </c>
      <c r="O139" s="7">
        <v>218</v>
      </c>
      <c r="P139" t="s">
        <v>519</v>
      </c>
    </row>
    <row r="140" spans="1:16" x14ac:dyDescent="0.2">
      <c r="A140" s="4" t="s">
        <v>146</v>
      </c>
      <c r="B140" s="4" t="s">
        <v>167</v>
      </c>
      <c r="C140" s="4" t="s">
        <v>87</v>
      </c>
      <c r="D140" s="4" t="s">
        <v>69</v>
      </c>
      <c r="E140" s="4" t="s">
        <v>23</v>
      </c>
      <c r="F140" s="5">
        <v>14385</v>
      </c>
      <c r="G140" s="5">
        <v>13717</v>
      </c>
      <c r="H140" s="6">
        <v>2.2999999999999998</v>
      </c>
      <c r="I140" s="5">
        <v>4</v>
      </c>
      <c r="J140" s="5">
        <v>143</v>
      </c>
      <c r="K140" s="5">
        <v>24</v>
      </c>
      <c r="L140" s="5">
        <v>29</v>
      </c>
      <c r="M140" s="5">
        <v>3028</v>
      </c>
      <c r="N140" s="5">
        <v>111</v>
      </c>
      <c r="O140" s="7">
        <v>188</v>
      </c>
      <c r="P140" t="s">
        <v>520</v>
      </c>
    </row>
    <row r="141" spans="1:16" x14ac:dyDescent="0.2">
      <c r="A141" s="4" t="s">
        <v>146</v>
      </c>
      <c r="B141" s="4" t="s">
        <v>168</v>
      </c>
      <c r="C141" s="4" t="s">
        <v>44</v>
      </c>
      <c r="D141" s="4" t="s">
        <v>69</v>
      </c>
      <c r="E141" s="4" t="s">
        <v>16</v>
      </c>
      <c r="F141" s="5">
        <v>17475</v>
      </c>
      <c r="G141" s="5">
        <v>16375</v>
      </c>
      <c r="H141" s="6">
        <v>2</v>
      </c>
      <c r="I141" s="5">
        <v>4</v>
      </c>
      <c r="J141" s="5">
        <v>130</v>
      </c>
      <c r="K141" s="5">
        <v>26</v>
      </c>
      <c r="L141" s="5">
        <v>33</v>
      </c>
      <c r="M141" s="5">
        <v>2702</v>
      </c>
      <c r="N141" s="5">
        <v>103</v>
      </c>
      <c r="O141" s="7">
        <v>178</v>
      </c>
      <c r="P141" t="s">
        <v>519</v>
      </c>
    </row>
    <row r="142" spans="1:16" x14ac:dyDescent="0.2">
      <c r="A142" s="4" t="s">
        <v>146</v>
      </c>
      <c r="B142" s="4" t="s">
        <v>169</v>
      </c>
      <c r="C142" s="4" t="s">
        <v>44</v>
      </c>
      <c r="D142" s="4" t="s">
        <v>69</v>
      </c>
      <c r="E142" s="4" t="s">
        <v>16</v>
      </c>
      <c r="F142" s="5">
        <v>22290</v>
      </c>
      <c r="G142" s="5">
        <v>20457</v>
      </c>
      <c r="H142" s="6">
        <v>3</v>
      </c>
      <c r="I142" s="5">
        <v>6</v>
      </c>
      <c r="J142" s="5">
        <v>155</v>
      </c>
      <c r="K142" s="5">
        <v>19</v>
      </c>
      <c r="L142" s="5">
        <v>26</v>
      </c>
      <c r="M142" s="5">
        <v>3497</v>
      </c>
      <c r="N142" s="5">
        <v>109</v>
      </c>
      <c r="O142" s="7">
        <v>198</v>
      </c>
      <c r="P142" t="s">
        <v>518</v>
      </c>
    </row>
    <row r="143" spans="1:16" x14ac:dyDescent="0.2">
      <c r="A143" s="4" t="s">
        <v>170</v>
      </c>
      <c r="B143" s="4" t="s">
        <v>171</v>
      </c>
      <c r="C143" s="4" t="s">
        <v>11</v>
      </c>
      <c r="D143" s="4" t="s">
        <v>69</v>
      </c>
      <c r="E143" s="4" t="s">
        <v>16</v>
      </c>
      <c r="F143" s="5">
        <v>31890</v>
      </c>
      <c r="G143" s="5">
        <v>28922</v>
      </c>
      <c r="H143" s="6">
        <v>4.2</v>
      </c>
      <c r="I143" s="5">
        <v>6</v>
      </c>
      <c r="J143" s="5">
        <v>275</v>
      </c>
      <c r="K143" s="5">
        <v>15</v>
      </c>
      <c r="L143" s="5">
        <v>19</v>
      </c>
      <c r="M143" s="5">
        <v>4945</v>
      </c>
      <c r="N143" s="5">
        <v>129</v>
      </c>
      <c r="O143" s="7">
        <v>208</v>
      </c>
      <c r="P143" t="s">
        <v>517</v>
      </c>
    </row>
    <row r="144" spans="1:16" x14ac:dyDescent="0.2">
      <c r="A144" s="4" t="s">
        <v>170</v>
      </c>
      <c r="B144" s="4" t="s">
        <v>172</v>
      </c>
      <c r="C144" s="4" t="s">
        <v>11</v>
      </c>
      <c r="D144" s="4" t="s">
        <v>69</v>
      </c>
      <c r="E144" s="4" t="s">
        <v>16</v>
      </c>
      <c r="F144" s="5">
        <v>35725</v>
      </c>
      <c r="G144" s="5">
        <v>31361</v>
      </c>
      <c r="H144" s="6">
        <v>4.8</v>
      </c>
      <c r="I144" s="5">
        <v>8</v>
      </c>
      <c r="J144" s="5">
        <v>285</v>
      </c>
      <c r="K144" s="5">
        <v>16</v>
      </c>
      <c r="L144" s="5">
        <v>19</v>
      </c>
      <c r="M144" s="5">
        <v>5042</v>
      </c>
      <c r="N144" s="5">
        <v>116</v>
      </c>
      <c r="O144" s="7">
        <v>199</v>
      </c>
      <c r="P144" t="s">
        <v>518</v>
      </c>
    </row>
    <row r="145" spans="1:16" x14ac:dyDescent="0.2">
      <c r="A145" s="4" t="s">
        <v>170</v>
      </c>
      <c r="B145" s="4" t="s">
        <v>173</v>
      </c>
      <c r="C145" s="4" t="s">
        <v>11</v>
      </c>
      <c r="D145" s="4" t="s">
        <v>69</v>
      </c>
      <c r="E145" s="4" t="s">
        <v>13</v>
      </c>
      <c r="F145" s="5">
        <v>46265</v>
      </c>
      <c r="G145" s="5">
        <v>40534</v>
      </c>
      <c r="H145" s="6">
        <v>6</v>
      </c>
      <c r="I145" s="5">
        <v>8</v>
      </c>
      <c r="J145" s="5">
        <v>325</v>
      </c>
      <c r="K145" s="5">
        <v>13</v>
      </c>
      <c r="L145" s="5">
        <v>17</v>
      </c>
      <c r="M145" s="5">
        <v>6133</v>
      </c>
      <c r="N145" s="5">
        <v>130</v>
      </c>
      <c r="O145" s="7">
        <v>219</v>
      </c>
      <c r="P145" t="s">
        <v>519</v>
      </c>
    </row>
    <row r="146" spans="1:16" x14ac:dyDescent="0.2">
      <c r="A146" s="4" t="s">
        <v>170</v>
      </c>
      <c r="B146" s="4" t="s">
        <v>174</v>
      </c>
      <c r="C146" s="4" t="s">
        <v>15</v>
      </c>
      <c r="D146" s="4" t="s">
        <v>69</v>
      </c>
      <c r="E146" s="4" t="s">
        <v>23</v>
      </c>
      <c r="F146" s="5">
        <v>25640</v>
      </c>
      <c r="G146" s="5">
        <v>23215</v>
      </c>
      <c r="H146" s="6">
        <v>4.3</v>
      </c>
      <c r="I146" s="5">
        <v>6</v>
      </c>
      <c r="J146" s="5">
        <v>190</v>
      </c>
      <c r="K146" s="5">
        <v>16</v>
      </c>
      <c r="L146" s="5">
        <v>20</v>
      </c>
      <c r="M146" s="5">
        <v>4309</v>
      </c>
      <c r="N146" s="5">
        <v>111</v>
      </c>
      <c r="O146" s="7">
        <v>190</v>
      </c>
      <c r="P146" t="s">
        <v>520</v>
      </c>
    </row>
    <row r="147" spans="1:16" x14ac:dyDescent="0.2">
      <c r="A147" s="4" t="s">
        <v>170</v>
      </c>
      <c r="B147" s="4" t="s">
        <v>175</v>
      </c>
      <c r="C147" s="4" t="s">
        <v>87</v>
      </c>
      <c r="D147" s="4" t="s">
        <v>69</v>
      </c>
      <c r="E147" s="4" t="s">
        <v>23</v>
      </c>
      <c r="F147" s="5">
        <v>16530</v>
      </c>
      <c r="G147" s="5">
        <v>14877</v>
      </c>
      <c r="H147" s="6">
        <v>2.8</v>
      </c>
      <c r="I147" s="5">
        <v>4</v>
      </c>
      <c r="J147" s="5">
        <v>175</v>
      </c>
      <c r="K147" s="5">
        <v>18</v>
      </c>
      <c r="L147" s="5">
        <v>25</v>
      </c>
      <c r="M147" s="5">
        <v>3351</v>
      </c>
      <c r="N147" s="5">
        <v>111</v>
      </c>
      <c r="O147" s="7">
        <v>192</v>
      </c>
      <c r="P147" t="s">
        <v>520</v>
      </c>
    </row>
    <row r="148" spans="1:16" x14ac:dyDescent="0.2">
      <c r="A148" s="4" t="s">
        <v>170</v>
      </c>
      <c r="B148" s="4" t="s">
        <v>176</v>
      </c>
      <c r="C148" s="4" t="s">
        <v>87</v>
      </c>
      <c r="D148" s="4" t="s">
        <v>69</v>
      </c>
      <c r="E148" s="4" t="s">
        <v>23</v>
      </c>
      <c r="F148" s="5">
        <v>25717</v>
      </c>
      <c r="G148" s="5">
        <v>22604</v>
      </c>
      <c r="H148" s="6">
        <v>4.8</v>
      </c>
      <c r="I148" s="5">
        <v>8</v>
      </c>
      <c r="J148" s="5">
        <v>285</v>
      </c>
      <c r="K148" s="5">
        <v>17</v>
      </c>
      <c r="L148" s="5">
        <v>20</v>
      </c>
      <c r="M148" s="5">
        <v>4548</v>
      </c>
      <c r="N148" s="5">
        <v>144</v>
      </c>
      <c r="O148" s="7">
        <v>230</v>
      </c>
      <c r="P148" t="s">
        <v>519</v>
      </c>
    </row>
    <row r="149" spans="1:16" x14ac:dyDescent="0.2">
      <c r="A149" s="4" t="s">
        <v>170</v>
      </c>
      <c r="B149" s="4" t="s">
        <v>177</v>
      </c>
      <c r="C149" s="4" t="s">
        <v>87</v>
      </c>
      <c r="D149" s="4" t="s">
        <v>69</v>
      </c>
      <c r="E149" s="4" t="s">
        <v>13</v>
      </c>
      <c r="F149" s="5">
        <v>29322</v>
      </c>
      <c r="G149" s="5">
        <v>25759</v>
      </c>
      <c r="H149" s="6">
        <v>6</v>
      </c>
      <c r="I149" s="5">
        <v>8</v>
      </c>
      <c r="J149" s="5">
        <v>300</v>
      </c>
      <c r="K149" s="5">
        <v>13</v>
      </c>
      <c r="L149" s="5">
        <v>18</v>
      </c>
      <c r="M149" s="5">
        <v>5440</v>
      </c>
      <c r="N149" s="5">
        <v>133</v>
      </c>
      <c r="O149" s="7">
        <v>222</v>
      </c>
    </row>
    <row r="150" spans="1:16" x14ac:dyDescent="0.2">
      <c r="A150" s="4" t="s">
        <v>170</v>
      </c>
      <c r="B150" s="4" t="s">
        <v>178</v>
      </c>
      <c r="C150" s="4" t="s">
        <v>87</v>
      </c>
      <c r="D150" s="4" t="s">
        <v>69</v>
      </c>
      <c r="E150" s="4" t="s">
        <v>13</v>
      </c>
      <c r="F150" s="5">
        <v>25395</v>
      </c>
      <c r="G150" s="5">
        <v>23043</v>
      </c>
      <c r="H150" s="6">
        <v>4.3</v>
      </c>
      <c r="I150" s="5">
        <v>6</v>
      </c>
      <c r="J150" s="5">
        <v>190</v>
      </c>
      <c r="K150" s="5">
        <v>15</v>
      </c>
      <c r="L150" s="5">
        <v>19</v>
      </c>
      <c r="M150" s="5">
        <v>4083</v>
      </c>
      <c r="N150" s="5">
        <v>123</v>
      </c>
      <c r="O150" s="7">
        <v>208</v>
      </c>
    </row>
    <row r="151" spans="1:16" x14ac:dyDescent="0.2">
      <c r="A151" s="4" t="s">
        <v>179</v>
      </c>
      <c r="B151" s="4" t="s">
        <v>180</v>
      </c>
      <c r="C151" s="4" t="s">
        <v>181</v>
      </c>
      <c r="D151" s="4" t="s">
        <v>12</v>
      </c>
      <c r="E151" s="4" t="s">
        <v>16</v>
      </c>
      <c r="F151" s="5">
        <v>20140</v>
      </c>
      <c r="G151" s="5">
        <v>18451</v>
      </c>
      <c r="H151" s="6">
        <v>1.4</v>
      </c>
      <c r="I151" s="5">
        <v>4</v>
      </c>
      <c r="J151" s="5">
        <v>93</v>
      </c>
      <c r="K151" s="5">
        <v>46</v>
      </c>
      <c r="L151" s="5">
        <v>51</v>
      </c>
      <c r="M151" s="5">
        <v>2732</v>
      </c>
      <c r="N151" s="5">
        <v>103</v>
      </c>
      <c r="O151" s="7">
        <v>175</v>
      </c>
      <c r="P151" t="s">
        <v>517</v>
      </c>
    </row>
    <row r="152" spans="1:16" x14ac:dyDescent="0.2">
      <c r="A152" s="4" t="s">
        <v>179</v>
      </c>
      <c r="B152" s="4" t="s">
        <v>182</v>
      </c>
      <c r="C152" s="4" t="s">
        <v>181</v>
      </c>
      <c r="D152" s="4" t="s">
        <v>12</v>
      </c>
      <c r="E152" s="4" t="s">
        <v>16</v>
      </c>
      <c r="F152" s="5">
        <v>19110</v>
      </c>
      <c r="G152" s="5">
        <v>17911</v>
      </c>
      <c r="H152" s="6">
        <v>2</v>
      </c>
      <c r="I152" s="5">
        <v>3</v>
      </c>
      <c r="J152" s="5">
        <v>73</v>
      </c>
      <c r="K152" s="5">
        <v>60</v>
      </c>
      <c r="L152" s="5">
        <v>66</v>
      </c>
      <c r="M152" s="5">
        <v>1850</v>
      </c>
      <c r="N152" s="5">
        <v>95</v>
      </c>
      <c r="O152" s="7">
        <v>155</v>
      </c>
      <c r="P152" t="s">
        <v>518</v>
      </c>
    </row>
    <row r="153" spans="1:16" x14ac:dyDescent="0.2">
      <c r="A153" s="4" t="s">
        <v>179</v>
      </c>
      <c r="B153" s="4" t="s">
        <v>183</v>
      </c>
      <c r="C153" s="4" t="s">
        <v>11</v>
      </c>
      <c r="D153" s="4" t="s">
        <v>12</v>
      </c>
      <c r="E153" s="4" t="s">
        <v>13</v>
      </c>
      <c r="F153" s="5">
        <v>27560</v>
      </c>
      <c r="G153" s="5">
        <v>24843</v>
      </c>
      <c r="H153" s="6">
        <v>3.5</v>
      </c>
      <c r="I153" s="5">
        <v>6</v>
      </c>
      <c r="J153" s="5">
        <v>240</v>
      </c>
      <c r="K153" s="5">
        <v>17</v>
      </c>
      <c r="L153" s="5">
        <v>22</v>
      </c>
      <c r="M153" s="5">
        <v>4387</v>
      </c>
      <c r="N153" s="5">
        <v>106</v>
      </c>
      <c r="O153" s="7">
        <v>188</v>
      </c>
      <c r="P153" t="s">
        <v>519</v>
      </c>
    </row>
    <row r="154" spans="1:16" x14ac:dyDescent="0.2">
      <c r="A154" s="4" t="s">
        <v>179</v>
      </c>
      <c r="B154" s="4" t="s">
        <v>184</v>
      </c>
      <c r="C154" s="4" t="s">
        <v>11</v>
      </c>
      <c r="D154" s="4" t="s">
        <v>12</v>
      </c>
      <c r="E154" s="4" t="s">
        <v>13</v>
      </c>
      <c r="F154" s="5">
        <v>19860</v>
      </c>
      <c r="G154" s="5">
        <v>18419</v>
      </c>
      <c r="H154" s="6">
        <v>2.4</v>
      </c>
      <c r="I154" s="5">
        <v>4</v>
      </c>
      <c r="J154" s="5">
        <v>160</v>
      </c>
      <c r="K154" s="5">
        <v>21</v>
      </c>
      <c r="L154" s="5">
        <v>25</v>
      </c>
      <c r="M154" s="5">
        <v>3258</v>
      </c>
      <c r="N154" s="5">
        <v>103</v>
      </c>
      <c r="O154" s="7">
        <v>179</v>
      </c>
      <c r="P154" t="s">
        <v>520</v>
      </c>
    </row>
    <row r="155" spans="1:16" x14ac:dyDescent="0.2">
      <c r="A155" s="4" t="s">
        <v>179</v>
      </c>
      <c r="B155" s="4" t="s">
        <v>185</v>
      </c>
      <c r="C155" s="4" t="s">
        <v>11</v>
      </c>
      <c r="D155" s="4" t="s">
        <v>12</v>
      </c>
      <c r="E155" s="4" t="s">
        <v>13</v>
      </c>
      <c r="F155" s="5">
        <v>18690</v>
      </c>
      <c r="G155" s="5">
        <v>17334</v>
      </c>
      <c r="H155" s="6">
        <v>2.4</v>
      </c>
      <c r="I155" s="5">
        <v>4</v>
      </c>
      <c r="J155" s="5">
        <v>160</v>
      </c>
      <c r="K155" s="5">
        <v>21</v>
      </c>
      <c r="L155" s="5">
        <v>24</v>
      </c>
      <c r="M155" s="5">
        <v>3468</v>
      </c>
      <c r="N155" s="5">
        <v>101</v>
      </c>
      <c r="O155" s="7">
        <v>167</v>
      </c>
      <c r="P155" t="s">
        <v>519</v>
      </c>
    </row>
    <row r="156" spans="1:16" x14ac:dyDescent="0.2">
      <c r="A156" s="4" t="s">
        <v>179</v>
      </c>
      <c r="B156" s="4" t="s">
        <v>186</v>
      </c>
      <c r="C156" s="4" t="s">
        <v>15</v>
      </c>
      <c r="D156" s="4" t="s">
        <v>12</v>
      </c>
      <c r="E156" s="4" t="s">
        <v>16</v>
      </c>
      <c r="F156" s="5">
        <v>13270</v>
      </c>
      <c r="G156" s="5">
        <v>12175</v>
      </c>
      <c r="H156" s="6">
        <v>1.7</v>
      </c>
      <c r="I156" s="5">
        <v>4</v>
      </c>
      <c r="J156" s="5">
        <v>115</v>
      </c>
      <c r="K156" s="5">
        <v>32</v>
      </c>
      <c r="L156" s="5">
        <v>38</v>
      </c>
      <c r="M156" s="5">
        <v>2432</v>
      </c>
      <c r="N156" s="5">
        <v>103</v>
      </c>
      <c r="O156" s="7">
        <v>175</v>
      </c>
      <c r="P156" t="s">
        <v>518</v>
      </c>
    </row>
    <row r="157" spans="1:16" x14ac:dyDescent="0.2">
      <c r="A157" s="4" t="s">
        <v>179</v>
      </c>
      <c r="B157" s="4" t="s">
        <v>187</v>
      </c>
      <c r="C157" s="4" t="s">
        <v>15</v>
      </c>
      <c r="D157" s="4" t="s">
        <v>12</v>
      </c>
      <c r="E157" s="4" t="s">
        <v>16</v>
      </c>
      <c r="F157" s="5">
        <v>14170</v>
      </c>
      <c r="G157" s="5">
        <v>12996</v>
      </c>
      <c r="H157" s="6">
        <v>1.7</v>
      </c>
      <c r="I157" s="5">
        <v>4</v>
      </c>
      <c r="J157" s="5">
        <v>117</v>
      </c>
      <c r="K157" s="5">
        <v>36</v>
      </c>
      <c r="L157" s="5">
        <v>44</v>
      </c>
      <c r="M157" s="5">
        <v>2500</v>
      </c>
      <c r="N157" s="5">
        <v>103</v>
      </c>
      <c r="O157" s="7">
        <v>175</v>
      </c>
      <c r="P157" t="s">
        <v>517</v>
      </c>
    </row>
    <row r="158" spans="1:16" x14ac:dyDescent="0.2">
      <c r="A158" s="4" t="s">
        <v>179</v>
      </c>
      <c r="B158" s="4" t="s">
        <v>188</v>
      </c>
      <c r="C158" s="4" t="s">
        <v>15</v>
      </c>
      <c r="D158" s="4" t="s">
        <v>12</v>
      </c>
      <c r="E158" s="4" t="s">
        <v>16</v>
      </c>
      <c r="F158" s="5">
        <v>15850</v>
      </c>
      <c r="G158" s="5">
        <v>14531</v>
      </c>
      <c r="H158" s="6">
        <v>1.7</v>
      </c>
      <c r="I158" s="5">
        <v>4</v>
      </c>
      <c r="J158" s="5">
        <v>115</v>
      </c>
      <c r="K158" s="5">
        <v>32</v>
      </c>
      <c r="L158" s="5">
        <v>38</v>
      </c>
      <c r="M158" s="5">
        <v>2513</v>
      </c>
      <c r="N158" s="5">
        <v>103</v>
      </c>
      <c r="O158" s="7">
        <v>175</v>
      </c>
      <c r="P158" t="s">
        <v>518</v>
      </c>
    </row>
    <row r="159" spans="1:16" x14ac:dyDescent="0.2">
      <c r="A159" s="4" t="s">
        <v>179</v>
      </c>
      <c r="B159" s="4" t="s">
        <v>189</v>
      </c>
      <c r="C159" s="4" t="s">
        <v>15</v>
      </c>
      <c r="D159" s="4" t="s">
        <v>12</v>
      </c>
      <c r="E159" s="4" t="s">
        <v>16</v>
      </c>
      <c r="F159" s="5">
        <v>19860</v>
      </c>
      <c r="G159" s="5">
        <v>17924</v>
      </c>
      <c r="H159" s="6">
        <v>2.4</v>
      </c>
      <c r="I159" s="5">
        <v>4</v>
      </c>
      <c r="J159" s="5">
        <v>160</v>
      </c>
      <c r="K159" s="5">
        <v>26</v>
      </c>
      <c r="L159" s="5">
        <v>34</v>
      </c>
      <c r="M159" s="5">
        <v>2994</v>
      </c>
      <c r="N159" s="5">
        <v>105</v>
      </c>
      <c r="O159" s="7">
        <v>188</v>
      </c>
      <c r="P159" t="s">
        <v>517</v>
      </c>
    </row>
    <row r="160" spans="1:16" x14ac:dyDescent="0.2">
      <c r="A160" s="4" t="s">
        <v>179</v>
      </c>
      <c r="B160" s="4" t="s">
        <v>190</v>
      </c>
      <c r="C160" s="4" t="s">
        <v>15</v>
      </c>
      <c r="D160" s="4" t="s">
        <v>12</v>
      </c>
      <c r="E160" s="4" t="s">
        <v>16</v>
      </c>
      <c r="F160" s="5">
        <v>22260</v>
      </c>
      <c r="G160" s="5">
        <v>20080</v>
      </c>
      <c r="H160" s="6">
        <v>2.4</v>
      </c>
      <c r="I160" s="5">
        <v>4</v>
      </c>
      <c r="J160" s="5">
        <v>160</v>
      </c>
      <c r="K160" s="5">
        <v>26</v>
      </c>
      <c r="L160" s="5">
        <v>34</v>
      </c>
      <c r="M160" s="5">
        <v>3047</v>
      </c>
      <c r="N160" s="5">
        <v>105</v>
      </c>
      <c r="O160" s="7">
        <v>188</v>
      </c>
      <c r="P160" t="s">
        <v>518</v>
      </c>
    </row>
    <row r="161" spans="1:16" x14ac:dyDescent="0.2">
      <c r="A161" s="4" t="s">
        <v>179</v>
      </c>
      <c r="B161" s="4" t="s">
        <v>191</v>
      </c>
      <c r="C161" s="4" t="s">
        <v>15</v>
      </c>
      <c r="D161" s="4" t="s">
        <v>12</v>
      </c>
      <c r="E161" s="4" t="s">
        <v>16</v>
      </c>
      <c r="F161" s="5">
        <v>17750</v>
      </c>
      <c r="G161" s="5">
        <v>16265</v>
      </c>
      <c r="H161" s="6">
        <v>1.7</v>
      </c>
      <c r="I161" s="5">
        <v>4</v>
      </c>
      <c r="J161" s="5">
        <v>127</v>
      </c>
      <c r="K161" s="5">
        <v>32</v>
      </c>
      <c r="L161" s="5">
        <v>37</v>
      </c>
      <c r="M161" s="5">
        <v>2601</v>
      </c>
      <c r="N161" s="5">
        <v>103</v>
      </c>
      <c r="O161" s="7">
        <v>175</v>
      </c>
      <c r="P161" t="s">
        <v>519</v>
      </c>
    </row>
    <row r="162" spans="1:16" x14ac:dyDescent="0.2">
      <c r="A162" s="4" t="s">
        <v>179</v>
      </c>
      <c r="B162" s="4" t="s">
        <v>192</v>
      </c>
      <c r="C162" s="4" t="s">
        <v>15</v>
      </c>
      <c r="D162" s="4" t="s">
        <v>12</v>
      </c>
      <c r="E162" s="4" t="s">
        <v>16</v>
      </c>
      <c r="F162" s="5">
        <v>19490</v>
      </c>
      <c r="G162" s="5">
        <v>17849</v>
      </c>
      <c r="H162" s="6">
        <v>2</v>
      </c>
      <c r="I162" s="5">
        <v>4</v>
      </c>
      <c r="J162" s="5">
        <v>160</v>
      </c>
      <c r="K162" s="5">
        <v>26</v>
      </c>
      <c r="L162" s="5">
        <v>30</v>
      </c>
      <c r="M162" s="5">
        <v>2782</v>
      </c>
      <c r="N162" s="5">
        <v>101</v>
      </c>
      <c r="O162" s="7">
        <v>166</v>
      </c>
      <c r="P162" t="s">
        <v>520</v>
      </c>
    </row>
    <row r="163" spans="1:16" x14ac:dyDescent="0.2">
      <c r="A163" s="4" t="s">
        <v>179</v>
      </c>
      <c r="B163" s="4" t="s">
        <v>193</v>
      </c>
      <c r="C163" s="4" t="s">
        <v>15</v>
      </c>
      <c r="D163" s="4" t="s">
        <v>12</v>
      </c>
      <c r="E163" s="4" t="s">
        <v>16</v>
      </c>
      <c r="F163" s="5">
        <v>23760</v>
      </c>
      <c r="G163" s="5">
        <v>21428</v>
      </c>
      <c r="H163" s="6">
        <v>3</v>
      </c>
      <c r="I163" s="5">
        <v>6</v>
      </c>
      <c r="J163" s="5">
        <v>240</v>
      </c>
      <c r="K163" s="5">
        <v>21</v>
      </c>
      <c r="L163" s="5">
        <v>30</v>
      </c>
      <c r="M163" s="5">
        <v>3349</v>
      </c>
      <c r="N163" s="5">
        <v>108</v>
      </c>
      <c r="O163" s="7">
        <v>190</v>
      </c>
      <c r="P163" t="s">
        <v>519</v>
      </c>
    </row>
    <row r="164" spans="1:16" x14ac:dyDescent="0.2">
      <c r="A164" s="4" t="s">
        <v>179</v>
      </c>
      <c r="B164" s="4" t="s">
        <v>194</v>
      </c>
      <c r="C164" s="4" t="s">
        <v>15</v>
      </c>
      <c r="D164" s="4" t="s">
        <v>12</v>
      </c>
      <c r="E164" s="4" t="s">
        <v>16</v>
      </c>
      <c r="F164" s="5">
        <v>26960</v>
      </c>
      <c r="G164" s="5">
        <v>24304</v>
      </c>
      <c r="H164" s="6">
        <v>3</v>
      </c>
      <c r="I164" s="5">
        <v>6</v>
      </c>
      <c r="J164" s="5">
        <v>240</v>
      </c>
      <c r="K164" s="5">
        <v>21</v>
      </c>
      <c r="L164" s="5">
        <v>30</v>
      </c>
      <c r="M164" s="5">
        <v>3294</v>
      </c>
      <c r="N164" s="5">
        <v>105</v>
      </c>
      <c r="O164" s="7">
        <v>188</v>
      </c>
      <c r="P164" t="s">
        <v>518</v>
      </c>
    </row>
    <row r="165" spans="1:16" x14ac:dyDescent="0.2">
      <c r="A165" s="4" t="s">
        <v>179</v>
      </c>
      <c r="B165" s="4" t="s">
        <v>195</v>
      </c>
      <c r="C165" s="4" t="s">
        <v>15</v>
      </c>
      <c r="D165" s="4" t="s">
        <v>12</v>
      </c>
      <c r="E165" s="4" t="s">
        <v>16</v>
      </c>
      <c r="F165" s="5">
        <v>24950</v>
      </c>
      <c r="G165" s="5">
        <v>22498</v>
      </c>
      <c r="H165" s="6">
        <v>3.5</v>
      </c>
      <c r="I165" s="5">
        <v>6</v>
      </c>
      <c r="J165" s="5">
        <v>240</v>
      </c>
      <c r="K165" s="5">
        <v>18</v>
      </c>
      <c r="L165" s="5">
        <v>25</v>
      </c>
      <c r="M165" s="5">
        <v>4310</v>
      </c>
      <c r="N165" s="5">
        <v>118</v>
      </c>
      <c r="O165" s="7">
        <v>201</v>
      </c>
      <c r="P165" t="s">
        <v>517</v>
      </c>
    </row>
    <row r="166" spans="1:16" x14ac:dyDescent="0.2">
      <c r="A166" s="4" t="s">
        <v>179</v>
      </c>
      <c r="B166" s="4" t="s">
        <v>196</v>
      </c>
      <c r="C166" s="4" t="s">
        <v>15</v>
      </c>
      <c r="D166" s="4" t="s">
        <v>12</v>
      </c>
      <c r="E166" s="4" t="s">
        <v>16</v>
      </c>
      <c r="F166" s="5">
        <v>27450</v>
      </c>
      <c r="G166" s="5">
        <v>24744</v>
      </c>
      <c r="H166" s="6">
        <v>3.5</v>
      </c>
      <c r="I166" s="5">
        <v>6</v>
      </c>
      <c r="J166" s="5">
        <v>240</v>
      </c>
      <c r="K166" s="5">
        <v>18</v>
      </c>
      <c r="L166" s="5">
        <v>25</v>
      </c>
      <c r="M166" s="5">
        <v>4365</v>
      </c>
      <c r="N166" s="5">
        <v>118</v>
      </c>
      <c r="O166" s="7">
        <v>201</v>
      </c>
    </row>
    <row r="167" spans="1:16" x14ac:dyDescent="0.2">
      <c r="A167" s="4" t="s">
        <v>179</v>
      </c>
      <c r="B167" s="4" t="s">
        <v>197</v>
      </c>
      <c r="C167" s="4" t="s">
        <v>22</v>
      </c>
      <c r="D167" s="4" t="s">
        <v>12</v>
      </c>
      <c r="E167" s="4" t="s">
        <v>23</v>
      </c>
      <c r="F167" s="5">
        <v>33260</v>
      </c>
      <c r="G167" s="5">
        <v>29965</v>
      </c>
      <c r="H167" s="6">
        <v>2.2000000000000002</v>
      </c>
      <c r="I167" s="5">
        <v>4</v>
      </c>
      <c r="J167" s="5">
        <v>240</v>
      </c>
      <c r="K167" s="5">
        <v>20</v>
      </c>
      <c r="L167" s="5">
        <v>25</v>
      </c>
      <c r="M167" s="5">
        <v>2835</v>
      </c>
      <c r="N167" s="5">
        <v>95</v>
      </c>
      <c r="O167" s="7">
        <v>162</v>
      </c>
    </row>
    <row r="168" spans="1:16" x14ac:dyDescent="0.2">
      <c r="A168" s="4" t="s">
        <v>198</v>
      </c>
      <c r="B168" s="4" t="s">
        <v>199</v>
      </c>
      <c r="C168" s="4" t="s">
        <v>11</v>
      </c>
      <c r="D168" s="4" t="s">
        <v>69</v>
      </c>
      <c r="E168" s="4" t="s">
        <v>13</v>
      </c>
      <c r="F168" s="5">
        <v>49995</v>
      </c>
      <c r="G168" s="5">
        <v>45815</v>
      </c>
      <c r="H168" s="6">
        <v>6</v>
      </c>
      <c r="I168" s="5">
        <v>8</v>
      </c>
      <c r="J168" s="5">
        <v>316</v>
      </c>
      <c r="K168" s="5">
        <v>10</v>
      </c>
      <c r="L168" s="5">
        <v>12</v>
      </c>
      <c r="M168" s="5">
        <v>6400</v>
      </c>
      <c r="N168" s="5">
        <v>123</v>
      </c>
      <c r="O168" s="7">
        <v>190</v>
      </c>
      <c r="P168" t="s">
        <v>519</v>
      </c>
    </row>
    <row r="169" spans="1:16" x14ac:dyDescent="0.2">
      <c r="A169" s="4" t="s">
        <v>200</v>
      </c>
      <c r="B169" s="4" t="s">
        <v>201</v>
      </c>
      <c r="C169" s="4" t="s">
        <v>11</v>
      </c>
      <c r="D169" s="4" t="s">
        <v>12</v>
      </c>
      <c r="E169" s="4" t="s">
        <v>16</v>
      </c>
      <c r="F169" s="5">
        <v>21589</v>
      </c>
      <c r="G169" s="5">
        <v>20201</v>
      </c>
      <c r="H169" s="6">
        <v>2.7</v>
      </c>
      <c r="I169" s="5">
        <v>6</v>
      </c>
      <c r="J169" s="5">
        <v>173</v>
      </c>
      <c r="K169" s="5">
        <v>20</v>
      </c>
      <c r="L169" s="5">
        <v>26</v>
      </c>
      <c r="M169" s="5">
        <v>3549</v>
      </c>
      <c r="N169" s="5">
        <v>103</v>
      </c>
      <c r="O169" s="7">
        <v>177</v>
      </c>
      <c r="P169" t="s">
        <v>518</v>
      </c>
    </row>
    <row r="170" spans="1:16" x14ac:dyDescent="0.2">
      <c r="A170" s="4" t="s">
        <v>200</v>
      </c>
      <c r="B170" s="4" t="s">
        <v>202</v>
      </c>
      <c r="C170" s="4" t="s">
        <v>15</v>
      </c>
      <c r="D170" s="4" t="s">
        <v>12</v>
      </c>
      <c r="E170" s="4" t="s">
        <v>16</v>
      </c>
      <c r="F170" s="5">
        <v>10539</v>
      </c>
      <c r="G170" s="5">
        <v>10107</v>
      </c>
      <c r="H170" s="6">
        <v>1.6</v>
      </c>
      <c r="I170" s="5">
        <v>4</v>
      </c>
      <c r="J170" s="5">
        <v>103</v>
      </c>
      <c r="K170" s="5">
        <v>29</v>
      </c>
      <c r="L170" s="5">
        <v>33</v>
      </c>
      <c r="M170" s="5">
        <v>2255</v>
      </c>
      <c r="N170" s="5">
        <v>96</v>
      </c>
      <c r="O170" s="7">
        <v>167</v>
      </c>
      <c r="P170" t="s">
        <v>517</v>
      </c>
    </row>
    <row r="171" spans="1:16" x14ac:dyDescent="0.2">
      <c r="A171" s="4" t="s">
        <v>200</v>
      </c>
      <c r="B171" s="4" t="s">
        <v>203</v>
      </c>
      <c r="C171" s="4" t="s">
        <v>15</v>
      </c>
      <c r="D171" s="4" t="s">
        <v>12</v>
      </c>
      <c r="E171" s="4" t="s">
        <v>16</v>
      </c>
      <c r="F171" s="5">
        <v>11839</v>
      </c>
      <c r="G171" s="5">
        <v>11116</v>
      </c>
      <c r="H171" s="6">
        <v>1.6</v>
      </c>
      <c r="I171" s="5">
        <v>4</v>
      </c>
      <c r="J171" s="5">
        <v>103</v>
      </c>
      <c r="K171" s="5">
        <v>29</v>
      </c>
      <c r="L171" s="5">
        <v>33</v>
      </c>
      <c r="M171" s="5">
        <v>2290</v>
      </c>
      <c r="N171" s="5">
        <v>96</v>
      </c>
      <c r="O171" s="7">
        <v>167</v>
      </c>
      <c r="P171" t="s">
        <v>518</v>
      </c>
    </row>
    <row r="172" spans="1:16" x14ac:dyDescent="0.2">
      <c r="A172" s="4" t="s">
        <v>200</v>
      </c>
      <c r="B172" s="4" t="s">
        <v>204</v>
      </c>
      <c r="C172" s="4" t="s">
        <v>15</v>
      </c>
      <c r="D172" s="4" t="s">
        <v>12</v>
      </c>
      <c r="E172" s="4" t="s">
        <v>16</v>
      </c>
      <c r="F172" s="5">
        <v>11939</v>
      </c>
      <c r="G172" s="5">
        <v>11209</v>
      </c>
      <c r="H172" s="6">
        <v>1.6</v>
      </c>
      <c r="I172" s="5">
        <v>4</v>
      </c>
      <c r="J172" s="5">
        <v>103</v>
      </c>
      <c r="K172" s="5">
        <v>29</v>
      </c>
      <c r="L172" s="5">
        <v>33</v>
      </c>
      <c r="M172" s="5">
        <v>2339</v>
      </c>
      <c r="N172" s="5">
        <v>96</v>
      </c>
      <c r="O172" s="7">
        <v>167</v>
      </c>
      <c r="P172" t="s">
        <v>517</v>
      </c>
    </row>
    <row r="173" spans="1:16" x14ac:dyDescent="0.2">
      <c r="A173" s="4" t="s">
        <v>200</v>
      </c>
      <c r="B173" s="4" t="s">
        <v>205</v>
      </c>
      <c r="C173" s="4" t="s">
        <v>15</v>
      </c>
      <c r="D173" s="4" t="s">
        <v>12</v>
      </c>
      <c r="E173" s="4" t="s">
        <v>16</v>
      </c>
      <c r="F173" s="5">
        <v>13839</v>
      </c>
      <c r="G173" s="5">
        <v>12781</v>
      </c>
      <c r="H173" s="6">
        <v>2</v>
      </c>
      <c r="I173" s="5">
        <v>4</v>
      </c>
      <c r="J173" s="5">
        <v>138</v>
      </c>
      <c r="K173" s="5">
        <v>26</v>
      </c>
      <c r="L173" s="5">
        <v>34</v>
      </c>
      <c r="M173" s="5">
        <v>2635</v>
      </c>
      <c r="N173" s="5">
        <v>103</v>
      </c>
      <c r="O173" s="7">
        <v>178</v>
      </c>
      <c r="P173" t="s">
        <v>518</v>
      </c>
    </row>
    <row r="174" spans="1:16" x14ac:dyDescent="0.2">
      <c r="A174" s="4" t="s">
        <v>200</v>
      </c>
      <c r="B174" s="4" t="s">
        <v>206</v>
      </c>
      <c r="C174" s="4" t="s">
        <v>15</v>
      </c>
      <c r="D174" s="4" t="s">
        <v>12</v>
      </c>
      <c r="E174" s="4" t="s">
        <v>16</v>
      </c>
      <c r="F174" s="5">
        <v>15389</v>
      </c>
      <c r="G174" s="5">
        <v>14207</v>
      </c>
      <c r="H174" s="6">
        <v>2</v>
      </c>
      <c r="I174" s="5">
        <v>4</v>
      </c>
      <c r="J174" s="5">
        <v>138</v>
      </c>
      <c r="K174" s="5">
        <v>26</v>
      </c>
      <c r="L174" s="5">
        <v>34</v>
      </c>
      <c r="M174" s="5">
        <v>2635</v>
      </c>
      <c r="N174" s="5">
        <v>103</v>
      </c>
      <c r="O174" s="7">
        <v>178</v>
      </c>
      <c r="P174" t="s">
        <v>519</v>
      </c>
    </row>
    <row r="175" spans="1:16" x14ac:dyDescent="0.2">
      <c r="A175" s="4" t="s">
        <v>200</v>
      </c>
      <c r="B175" s="4" t="s">
        <v>207</v>
      </c>
      <c r="C175" s="4" t="s">
        <v>15</v>
      </c>
      <c r="D175" s="4" t="s">
        <v>12</v>
      </c>
      <c r="E175" s="4" t="s">
        <v>16</v>
      </c>
      <c r="F175" s="5">
        <v>15389</v>
      </c>
      <c r="G175" s="5">
        <v>14207</v>
      </c>
      <c r="H175" s="6">
        <v>2</v>
      </c>
      <c r="I175" s="5">
        <v>4</v>
      </c>
      <c r="J175" s="5">
        <v>138</v>
      </c>
      <c r="K175" s="5">
        <v>26</v>
      </c>
      <c r="L175" s="5">
        <v>34</v>
      </c>
      <c r="M175" s="5">
        <v>2698</v>
      </c>
      <c r="N175" s="5">
        <v>103</v>
      </c>
      <c r="O175" s="7">
        <v>178</v>
      </c>
      <c r="P175" t="s">
        <v>520</v>
      </c>
    </row>
    <row r="176" spans="1:16" x14ac:dyDescent="0.2">
      <c r="A176" s="4" t="s">
        <v>200</v>
      </c>
      <c r="B176" s="4" t="s">
        <v>208</v>
      </c>
      <c r="C176" s="4" t="s">
        <v>15</v>
      </c>
      <c r="D176" s="4" t="s">
        <v>12</v>
      </c>
      <c r="E176" s="4" t="s">
        <v>16</v>
      </c>
      <c r="F176" s="5">
        <v>19339</v>
      </c>
      <c r="G176" s="5">
        <v>17574</v>
      </c>
      <c r="H176" s="6">
        <v>2.7</v>
      </c>
      <c r="I176" s="5">
        <v>6</v>
      </c>
      <c r="J176" s="5">
        <v>170</v>
      </c>
      <c r="K176" s="5">
        <v>19</v>
      </c>
      <c r="L176" s="5">
        <v>27</v>
      </c>
      <c r="M176" s="5">
        <v>3217</v>
      </c>
      <c r="N176" s="5">
        <v>106</v>
      </c>
      <c r="O176" s="7">
        <v>187</v>
      </c>
      <c r="P176" t="s">
        <v>519</v>
      </c>
    </row>
    <row r="177" spans="1:16" x14ac:dyDescent="0.2">
      <c r="A177" s="4" t="s">
        <v>200</v>
      </c>
      <c r="B177" s="4" t="s">
        <v>209</v>
      </c>
      <c r="C177" s="4" t="s">
        <v>15</v>
      </c>
      <c r="D177" s="4" t="s">
        <v>12</v>
      </c>
      <c r="E177" s="4" t="s">
        <v>16</v>
      </c>
      <c r="F177" s="5">
        <v>20339</v>
      </c>
      <c r="G177" s="5">
        <v>18380</v>
      </c>
      <c r="H177" s="6">
        <v>2.7</v>
      </c>
      <c r="I177" s="5">
        <v>6</v>
      </c>
      <c r="J177" s="5">
        <v>170</v>
      </c>
      <c r="K177" s="5">
        <v>19</v>
      </c>
      <c r="L177" s="5">
        <v>27</v>
      </c>
      <c r="M177" s="5">
        <v>3217</v>
      </c>
      <c r="N177" s="5">
        <v>106</v>
      </c>
      <c r="O177" s="7">
        <v>187</v>
      </c>
      <c r="P177" t="s">
        <v>518</v>
      </c>
    </row>
    <row r="178" spans="1:16" x14ac:dyDescent="0.2">
      <c r="A178" s="4" t="s">
        <v>200</v>
      </c>
      <c r="B178" s="4" t="s">
        <v>210</v>
      </c>
      <c r="C178" s="4" t="s">
        <v>15</v>
      </c>
      <c r="D178" s="4" t="s">
        <v>12</v>
      </c>
      <c r="E178" s="4" t="s">
        <v>16</v>
      </c>
      <c r="F178" s="5">
        <v>24589</v>
      </c>
      <c r="G178" s="5">
        <v>22055</v>
      </c>
      <c r="H178" s="6">
        <v>3.5</v>
      </c>
      <c r="I178" s="5">
        <v>6</v>
      </c>
      <c r="J178" s="5">
        <v>194</v>
      </c>
      <c r="K178" s="5">
        <v>17</v>
      </c>
      <c r="L178" s="5">
        <v>26</v>
      </c>
      <c r="M178" s="5">
        <v>3651</v>
      </c>
      <c r="N178" s="5">
        <v>108</v>
      </c>
      <c r="O178" s="7">
        <v>192</v>
      </c>
      <c r="P178" t="s">
        <v>517</v>
      </c>
    </row>
    <row r="179" spans="1:16" x14ac:dyDescent="0.2">
      <c r="A179" s="4" t="s">
        <v>200</v>
      </c>
      <c r="B179" s="4" t="s">
        <v>211</v>
      </c>
      <c r="C179" s="4" t="s">
        <v>15</v>
      </c>
      <c r="D179" s="4" t="s">
        <v>12</v>
      </c>
      <c r="E179" s="4" t="s">
        <v>16</v>
      </c>
      <c r="F179" s="5">
        <v>26189</v>
      </c>
      <c r="G179" s="5">
        <v>23486</v>
      </c>
      <c r="H179" s="6">
        <v>3.5</v>
      </c>
      <c r="I179" s="5">
        <v>6</v>
      </c>
      <c r="J179" s="5">
        <v>194</v>
      </c>
      <c r="K179" s="5">
        <v>17</v>
      </c>
      <c r="L179" s="5">
        <v>26</v>
      </c>
      <c r="M179" s="5">
        <v>3651</v>
      </c>
      <c r="N179" s="5">
        <v>108</v>
      </c>
      <c r="O179" s="7">
        <v>192</v>
      </c>
    </row>
    <row r="180" spans="1:16" x14ac:dyDescent="0.2">
      <c r="A180" s="4" t="s">
        <v>200</v>
      </c>
      <c r="B180" s="4" t="s">
        <v>212</v>
      </c>
      <c r="C180" s="4" t="s">
        <v>22</v>
      </c>
      <c r="D180" s="4" t="s">
        <v>12</v>
      </c>
      <c r="E180" s="4" t="s">
        <v>16</v>
      </c>
      <c r="F180" s="5">
        <v>18739</v>
      </c>
      <c r="G180" s="5">
        <v>17101</v>
      </c>
      <c r="H180" s="6">
        <v>2.7</v>
      </c>
      <c r="I180" s="5">
        <v>6</v>
      </c>
      <c r="J180" s="5">
        <v>172</v>
      </c>
      <c r="K180" s="5">
        <v>19</v>
      </c>
      <c r="L180" s="5">
        <v>26</v>
      </c>
      <c r="M180" s="5">
        <v>3023</v>
      </c>
      <c r="N180" s="5">
        <v>100</v>
      </c>
      <c r="O180" s="7">
        <v>173</v>
      </c>
    </row>
    <row r="181" spans="1:16" x14ac:dyDescent="0.2">
      <c r="A181" s="4" t="s">
        <v>213</v>
      </c>
      <c r="B181" s="4" t="s">
        <v>214</v>
      </c>
      <c r="C181" s="4" t="s">
        <v>15</v>
      </c>
      <c r="D181" s="4" t="s">
        <v>12</v>
      </c>
      <c r="E181" s="4" t="s">
        <v>23</v>
      </c>
      <c r="F181" s="5">
        <v>28495</v>
      </c>
      <c r="G181" s="5">
        <v>26157</v>
      </c>
      <c r="H181" s="6">
        <v>3.5</v>
      </c>
      <c r="I181" s="5">
        <v>6</v>
      </c>
      <c r="J181" s="5">
        <v>260</v>
      </c>
      <c r="K181" s="5">
        <v>18</v>
      </c>
      <c r="L181" s="5">
        <v>26</v>
      </c>
      <c r="M181" s="5">
        <v>3336</v>
      </c>
      <c r="N181" s="5">
        <v>112</v>
      </c>
      <c r="O181" s="7">
        <v>187</v>
      </c>
    </row>
    <row r="182" spans="1:16" x14ac:dyDescent="0.2">
      <c r="A182" s="4" t="s">
        <v>213</v>
      </c>
      <c r="B182" s="4" t="s">
        <v>215</v>
      </c>
      <c r="C182" s="4" t="s">
        <v>15</v>
      </c>
      <c r="D182" s="4" t="s">
        <v>12</v>
      </c>
      <c r="E182" s="4" t="s">
        <v>23</v>
      </c>
      <c r="F182" s="5">
        <v>29795</v>
      </c>
      <c r="G182" s="5">
        <v>27536</v>
      </c>
      <c r="H182" s="6">
        <v>3.5</v>
      </c>
      <c r="I182" s="5">
        <v>6</v>
      </c>
      <c r="J182" s="5">
        <v>280</v>
      </c>
      <c r="K182" s="5">
        <v>18</v>
      </c>
      <c r="L182" s="5">
        <v>26</v>
      </c>
      <c r="M182" s="5">
        <v>3416</v>
      </c>
      <c r="N182" s="5">
        <v>112</v>
      </c>
      <c r="O182" s="7">
        <v>182</v>
      </c>
      <c r="P182" t="s">
        <v>517</v>
      </c>
    </row>
    <row r="183" spans="1:16" x14ac:dyDescent="0.2">
      <c r="A183" s="4" t="s">
        <v>213</v>
      </c>
      <c r="B183" s="4" t="s">
        <v>214</v>
      </c>
      <c r="C183" s="4" t="s">
        <v>15</v>
      </c>
      <c r="D183" s="4" t="s">
        <v>12</v>
      </c>
      <c r="E183" s="4" t="s">
        <v>13</v>
      </c>
      <c r="F183" s="5">
        <v>32445</v>
      </c>
      <c r="G183" s="5">
        <v>29783</v>
      </c>
      <c r="H183" s="6">
        <v>3.5</v>
      </c>
      <c r="I183" s="5">
        <v>6</v>
      </c>
      <c r="J183" s="5">
        <v>260</v>
      </c>
      <c r="K183" s="5">
        <v>18</v>
      </c>
      <c r="L183" s="5">
        <v>26</v>
      </c>
      <c r="M183" s="5">
        <v>3677</v>
      </c>
      <c r="N183" s="5">
        <v>112</v>
      </c>
      <c r="O183" s="7">
        <v>187</v>
      </c>
      <c r="P183" t="s">
        <v>518</v>
      </c>
    </row>
    <row r="184" spans="1:16" x14ac:dyDescent="0.2">
      <c r="A184" s="4" t="s">
        <v>213</v>
      </c>
      <c r="B184" s="4" t="s">
        <v>216</v>
      </c>
      <c r="C184" s="4" t="s">
        <v>15</v>
      </c>
      <c r="D184" s="4" t="s">
        <v>12</v>
      </c>
      <c r="E184" s="4" t="s">
        <v>16</v>
      </c>
      <c r="F184" s="5">
        <v>31145</v>
      </c>
      <c r="G184" s="5">
        <v>28320</v>
      </c>
      <c r="H184" s="6">
        <v>3.5</v>
      </c>
      <c r="I184" s="5">
        <v>6</v>
      </c>
      <c r="J184" s="5">
        <v>255</v>
      </c>
      <c r="K184" s="5">
        <v>19</v>
      </c>
      <c r="L184" s="5">
        <v>26</v>
      </c>
      <c r="M184" s="5">
        <v>3306</v>
      </c>
      <c r="N184" s="5">
        <v>108</v>
      </c>
      <c r="O184" s="7">
        <v>194</v>
      </c>
      <c r="P184" t="s">
        <v>519</v>
      </c>
    </row>
    <row r="185" spans="1:16" x14ac:dyDescent="0.2">
      <c r="A185" s="4" t="s">
        <v>213</v>
      </c>
      <c r="B185" s="4" t="s">
        <v>217</v>
      </c>
      <c r="C185" s="4" t="s">
        <v>15</v>
      </c>
      <c r="D185" s="4" t="s">
        <v>12</v>
      </c>
      <c r="E185" s="4" t="s">
        <v>23</v>
      </c>
      <c r="F185" s="5">
        <v>42845</v>
      </c>
      <c r="G185" s="5">
        <v>38792</v>
      </c>
      <c r="H185" s="6">
        <v>4.5</v>
      </c>
      <c r="I185" s="5">
        <v>8</v>
      </c>
      <c r="J185" s="5">
        <v>340</v>
      </c>
      <c r="K185" s="5">
        <v>17</v>
      </c>
      <c r="L185" s="5">
        <v>23</v>
      </c>
      <c r="M185" s="5">
        <v>3851</v>
      </c>
      <c r="N185" s="5">
        <v>110</v>
      </c>
      <c r="O185" s="7">
        <v>197</v>
      </c>
      <c r="P185" t="s">
        <v>520</v>
      </c>
    </row>
    <row r="186" spans="1:16" x14ac:dyDescent="0.2">
      <c r="A186" s="4" t="s">
        <v>213</v>
      </c>
      <c r="B186" s="4" t="s">
        <v>218</v>
      </c>
      <c r="C186" s="4" t="s">
        <v>15</v>
      </c>
      <c r="D186" s="4" t="s">
        <v>12</v>
      </c>
      <c r="E186" s="4" t="s">
        <v>23</v>
      </c>
      <c r="F186" s="5">
        <v>52545</v>
      </c>
      <c r="G186" s="5">
        <v>47575</v>
      </c>
      <c r="H186" s="6">
        <v>4.5</v>
      </c>
      <c r="I186" s="5">
        <v>8</v>
      </c>
      <c r="J186" s="5">
        <v>340</v>
      </c>
      <c r="K186" s="5">
        <v>17</v>
      </c>
      <c r="L186" s="5">
        <v>23</v>
      </c>
      <c r="M186" s="5">
        <v>3977</v>
      </c>
      <c r="N186" s="5">
        <v>113</v>
      </c>
      <c r="O186" s="7">
        <v>200</v>
      </c>
      <c r="P186" t="s">
        <v>519</v>
      </c>
    </row>
    <row r="187" spans="1:16" x14ac:dyDescent="0.2">
      <c r="A187" s="4" t="s">
        <v>213</v>
      </c>
      <c r="B187" s="4" t="s">
        <v>219</v>
      </c>
      <c r="C187" s="4" t="s">
        <v>44</v>
      </c>
      <c r="D187" s="4" t="s">
        <v>12</v>
      </c>
      <c r="E187" s="4" t="s">
        <v>23</v>
      </c>
      <c r="F187" s="5">
        <v>34895</v>
      </c>
      <c r="G187" s="5">
        <v>31756</v>
      </c>
      <c r="H187" s="6">
        <v>3.5</v>
      </c>
      <c r="I187" s="5">
        <v>6</v>
      </c>
      <c r="J187" s="5">
        <v>280</v>
      </c>
      <c r="K187" s="5">
        <v>16</v>
      </c>
      <c r="L187" s="5">
        <v>22</v>
      </c>
      <c r="M187" s="5">
        <v>4056</v>
      </c>
      <c r="N187" s="5">
        <v>112</v>
      </c>
      <c r="O187" s="7">
        <v>189</v>
      </c>
      <c r="P187" t="s">
        <v>518</v>
      </c>
    </row>
    <row r="188" spans="1:16" x14ac:dyDescent="0.2">
      <c r="A188" s="4" t="s">
        <v>213</v>
      </c>
      <c r="B188" s="4" t="s">
        <v>220</v>
      </c>
      <c r="C188" s="4" t="s">
        <v>44</v>
      </c>
      <c r="D188" s="4" t="s">
        <v>12</v>
      </c>
      <c r="E188" s="4" t="s">
        <v>13</v>
      </c>
      <c r="F188" s="5">
        <v>36395</v>
      </c>
      <c r="G188" s="5">
        <v>33121</v>
      </c>
      <c r="H188" s="6">
        <v>4.5</v>
      </c>
      <c r="I188" s="5">
        <v>8</v>
      </c>
      <c r="J188" s="5">
        <v>315</v>
      </c>
      <c r="K188" s="5">
        <v>15</v>
      </c>
      <c r="L188" s="5">
        <v>19</v>
      </c>
      <c r="M188" s="5">
        <v>4309</v>
      </c>
      <c r="N188" s="5">
        <v>112</v>
      </c>
      <c r="O188" s="7">
        <v>189</v>
      </c>
      <c r="P188" t="s">
        <v>517</v>
      </c>
    </row>
    <row r="189" spans="1:16" x14ac:dyDescent="0.2">
      <c r="A189" s="4" t="s">
        <v>221</v>
      </c>
      <c r="B189" s="4" t="s">
        <v>222</v>
      </c>
      <c r="C189" s="4" t="s">
        <v>11</v>
      </c>
      <c r="D189" s="4" t="s">
        <v>12</v>
      </c>
      <c r="E189" s="4" t="s">
        <v>13</v>
      </c>
      <c r="F189" s="5">
        <v>31849</v>
      </c>
      <c r="G189" s="5">
        <v>29977</v>
      </c>
      <c r="H189" s="6">
        <v>4.2</v>
      </c>
      <c r="I189" s="5">
        <v>6</v>
      </c>
      <c r="J189" s="5">
        <v>275</v>
      </c>
      <c r="K189" s="5">
        <v>15</v>
      </c>
      <c r="L189" s="5">
        <v>20</v>
      </c>
      <c r="M189" s="5">
        <v>4967</v>
      </c>
      <c r="N189" s="5">
        <v>129</v>
      </c>
      <c r="O189" s="7">
        <v>208</v>
      </c>
      <c r="P189" t="s">
        <v>518</v>
      </c>
    </row>
    <row r="190" spans="1:16" x14ac:dyDescent="0.2">
      <c r="A190" s="4" t="s">
        <v>221</v>
      </c>
      <c r="B190" s="4" t="s">
        <v>223</v>
      </c>
      <c r="C190" s="4" t="s">
        <v>11</v>
      </c>
      <c r="D190" s="4" t="s">
        <v>12</v>
      </c>
      <c r="E190" s="4" t="s">
        <v>16</v>
      </c>
      <c r="F190" s="5">
        <v>20449</v>
      </c>
      <c r="G190" s="5">
        <v>19261</v>
      </c>
      <c r="H190" s="6">
        <v>3.2</v>
      </c>
      <c r="I190" s="5">
        <v>6</v>
      </c>
      <c r="J190" s="5">
        <v>193</v>
      </c>
      <c r="K190" s="5">
        <v>17</v>
      </c>
      <c r="L190" s="5">
        <v>21</v>
      </c>
      <c r="M190" s="5">
        <v>3836</v>
      </c>
      <c r="N190" s="5">
        <v>106</v>
      </c>
      <c r="O190" s="7">
        <v>178</v>
      </c>
      <c r="P190" t="s">
        <v>519</v>
      </c>
    </row>
    <row r="191" spans="1:16" x14ac:dyDescent="0.2">
      <c r="A191" s="4" t="s">
        <v>224</v>
      </c>
      <c r="B191" s="4" t="s">
        <v>225</v>
      </c>
      <c r="C191" s="4" t="s">
        <v>15</v>
      </c>
      <c r="D191" s="4" t="s">
        <v>26</v>
      </c>
      <c r="E191" s="4" t="s">
        <v>13</v>
      </c>
      <c r="F191" s="5">
        <v>29995</v>
      </c>
      <c r="G191" s="5">
        <v>27355</v>
      </c>
      <c r="H191" s="6">
        <v>2.5</v>
      </c>
      <c r="I191" s="5">
        <v>6</v>
      </c>
      <c r="J191" s="5">
        <v>192</v>
      </c>
      <c r="K191" s="5">
        <v>18</v>
      </c>
      <c r="L191" s="5">
        <v>26</v>
      </c>
      <c r="M191" s="5">
        <v>3428</v>
      </c>
      <c r="N191" s="5">
        <v>107</v>
      </c>
      <c r="O191" s="7">
        <v>184</v>
      </c>
      <c r="P191" t="s">
        <v>520</v>
      </c>
    </row>
    <row r="192" spans="1:16" x14ac:dyDescent="0.2">
      <c r="A192" s="4" t="s">
        <v>224</v>
      </c>
      <c r="B192" s="4" t="s">
        <v>226</v>
      </c>
      <c r="C192" s="4" t="s">
        <v>15</v>
      </c>
      <c r="D192" s="4" t="s">
        <v>26</v>
      </c>
      <c r="E192" s="4" t="s">
        <v>13</v>
      </c>
      <c r="F192" s="5">
        <v>33995</v>
      </c>
      <c r="G192" s="5">
        <v>30995</v>
      </c>
      <c r="H192" s="6">
        <v>3</v>
      </c>
      <c r="I192" s="5">
        <v>6</v>
      </c>
      <c r="J192" s="5">
        <v>227</v>
      </c>
      <c r="K192" s="5">
        <v>18</v>
      </c>
      <c r="L192" s="5">
        <v>25</v>
      </c>
      <c r="M192" s="5">
        <v>3516</v>
      </c>
      <c r="N192" s="5">
        <v>107</v>
      </c>
      <c r="O192" s="7">
        <v>184</v>
      </c>
      <c r="P192" t="s">
        <v>520</v>
      </c>
    </row>
    <row r="193" spans="1:16" x14ac:dyDescent="0.2">
      <c r="A193" s="4" t="s">
        <v>224</v>
      </c>
      <c r="B193" s="4" t="s">
        <v>227</v>
      </c>
      <c r="C193" s="4" t="s">
        <v>15</v>
      </c>
      <c r="D193" s="4" t="s">
        <v>26</v>
      </c>
      <c r="E193" s="4" t="s">
        <v>23</v>
      </c>
      <c r="F193" s="5">
        <v>43895</v>
      </c>
      <c r="G193" s="5">
        <v>40004</v>
      </c>
      <c r="H193" s="6">
        <v>3</v>
      </c>
      <c r="I193" s="5">
        <v>6</v>
      </c>
      <c r="J193" s="5">
        <v>235</v>
      </c>
      <c r="K193" s="5">
        <v>18</v>
      </c>
      <c r="L193" s="5">
        <v>26</v>
      </c>
      <c r="M193" s="5">
        <v>3777</v>
      </c>
      <c r="N193" s="5">
        <v>115</v>
      </c>
      <c r="O193" s="7">
        <v>192</v>
      </c>
      <c r="P193" t="s">
        <v>519</v>
      </c>
    </row>
    <row r="194" spans="1:16" x14ac:dyDescent="0.2">
      <c r="A194" s="4" t="s">
        <v>224</v>
      </c>
      <c r="B194" s="4" t="s">
        <v>228</v>
      </c>
      <c r="C194" s="4" t="s">
        <v>15</v>
      </c>
      <c r="D194" s="4" t="s">
        <v>26</v>
      </c>
      <c r="E194" s="4" t="s">
        <v>23</v>
      </c>
      <c r="F194" s="5">
        <v>49995</v>
      </c>
      <c r="G194" s="5">
        <v>45556</v>
      </c>
      <c r="H194" s="6">
        <v>4.2</v>
      </c>
      <c r="I194" s="5">
        <v>8</v>
      </c>
      <c r="J194" s="5">
        <v>294</v>
      </c>
      <c r="K194" s="5">
        <v>18</v>
      </c>
      <c r="L194" s="5">
        <v>28</v>
      </c>
      <c r="M194" s="5">
        <v>3874</v>
      </c>
      <c r="N194" s="5">
        <v>115</v>
      </c>
      <c r="O194" s="7">
        <v>192</v>
      </c>
      <c r="P194" t="s">
        <v>520</v>
      </c>
    </row>
    <row r="195" spans="1:16" x14ac:dyDescent="0.2">
      <c r="A195" s="4" t="s">
        <v>224</v>
      </c>
      <c r="B195" s="4" t="s">
        <v>229</v>
      </c>
      <c r="C195" s="4" t="s">
        <v>15</v>
      </c>
      <c r="D195" s="4" t="s">
        <v>26</v>
      </c>
      <c r="E195" s="4" t="s">
        <v>23</v>
      </c>
      <c r="F195" s="5">
        <v>63120</v>
      </c>
      <c r="G195" s="5">
        <v>57499</v>
      </c>
      <c r="H195" s="6">
        <v>4.2</v>
      </c>
      <c r="I195" s="5">
        <v>8</v>
      </c>
      <c r="J195" s="5">
        <v>390</v>
      </c>
      <c r="K195" s="5">
        <v>17</v>
      </c>
      <c r="L195" s="5">
        <v>24</v>
      </c>
      <c r="M195" s="5">
        <v>4046</v>
      </c>
      <c r="N195" s="5">
        <v>115</v>
      </c>
      <c r="O195" s="7">
        <v>192</v>
      </c>
      <c r="P195" t="s">
        <v>519</v>
      </c>
    </row>
    <row r="196" spans="1:16" x14ac:dyDescent="0.2">
      <c r="A196" s="4" t="s">
        <v>224</v>
      </c>
      <c r="B196" s="4" t="s">
        <v>230</v>
      </c>
      <c r="C196" s="4" t="s">
        <v>15</v>
      </c>
      <c r="D196" s="4" t="s">
        <v>26</v>
      </c>
      <c r="E196" s="4" t="s">
        <v>23</v>
      </c>
      <c r="F196" s="5">
        <v>68995</v>
      </c>
      <c r="G196" s="5">
        <v>62846</v>
      </c>
      <c r="H196" s="6">
        <v>4.2</v>
      </c>
      <c r="I196" s="5">
        <v>8</v>
      </c>
      <c r="J196" s="5">
        <v>294</v>
      </c>
      <c r="K196" s="5">
        <v>18</v>
      </c>
      <c r="L196" s="5">
        <v>28</v>
      </c>
      <c r="M196" s="5">
        <v>3803</v>
      </c>
      <c r="N196" s="5">
        <v>119</v>
      </c>
      <c r="O196" s="7">
        <v>200</v>
      </c>
    </row>
    <row r="197" spans="1:16" x14ac:dyDescent="0.2">
      <c r="A197" s="4" t="s">
        <v>224</v>
      </c>
      <c r="B197" s="4" t="s">
        <v>231</v>
      </c>
      <c r="C197" s="4" t="s">
        <v>15</v>
      </c>
      <c r="D197" s="4" t="s">
        <v>26</v>
      </c>
      <c r="E197" s="4" t="s">
        <v>23</v>
      </c>
      <c r="F197" s="5">
        <v>59995</v>
      </c>
      <c r="G197" s="5">
        <v>54656</v>
      </c>
      <c r="H197" s="6">
        <v>4.2</v>
      </c>
      <c r="I197" s="5">
        <v>8</v>
      </c>
      <c r="J197" s="5">
        <v>294</v>
      </c>
      <c r="K197" s="5">
        <v>18</v>
      </c>
      <c r="L197" s="5">
        <v>28</v>
      </c>
      <c r="M197" s="5">
        <v>3803</v>
      </c>
      <c r="N197" s="5">
        <v>119</v>
      </c>
      <c r="O197" s="7">
        <v>200</v>
      </c>
    </row>
    <row r="198" spans="1:16" x14ac:dyDescent="0.2">
      <c r="A198" s="4" t="s">
        <v>224</v>
      </c>
      <c r="B198" s="4" t="s">
        <v>232</v>
      </c>
      <c r="C198" s="4" t="s">
        <v>15</v>
      </c>
      <c r="D198" s="4" t="s">
        <v>26</v>
      </c>
      <c r="E198" s="4" t="s">
        <v>23</v>
      </c>
      <c r="F198" s="5">
        <v>74995</v>
      </c>
      <c r="G198" s="5">
        <v>68306</v>
      </c>
      <c r="H198" s="6">
        <v>4.2</v>
      </c>
      <c r="I198" s="5">
        <v>8</v>
      </c>
      <c r="J198" s="5">
        <v>390</v>
      </c>
      <c r="K198" s="5">
        <v>17</v>
      </c>
      <c r="L198" s="5">
        <v>24</v>
      </c>
      <c r="M198" s="5">
        <v>3948</v>
      </c>
      <c r="N198" s="5">
        <v>119</v>
      </c>
      <c r="O198" s="7">
        <v>200</v>
      </c>
    </row>
    <row r="199" spans="1:16" x14ac:dyDescent="0.2">
      <c r="A199" s="4" t="s">
        <v>224</v>
      </c>
      <c r="B199" s="4" t="s">
        <v>233</v>
      </c>
      <c r="C199" s="4" t="s">
        <v>22</v>
      </c>
      <c r="D199" s="4" t="s">
        <v>26</v>
      </c>
      <c r="E199" s="4" t="s">
        <v>23</v>
      </c>
      <c r="F199" s="5">
        <v>69995</v>
      </c>
      <c r="G199" s="5">
        <v>63756</v>
      </c>
      <c r="H199" s="6">
        <v>4.2</v>
      </c>
      <c r="I199" s="5">
        <v>8</v>
      </c>
      <c r="J199" s="5">
        <v>294</v>
      </c>
      <c r="K199" s="5">
        <v>18</v>
      </c>
      <c r="L199" s="5">
        <v>26</v>
      </c>
      <c r="M199" s="5">
        <v>3779</v>
      </c>
      <c r="N199" s="5">
        <v>102</v>
      </c>
      <c r="O199" s="7">
        <v>187</v>
      </c>
      <c r="P199" t="s">
        <v>519</v>
      </c>
    </row>
    <row r="200" spans="1:16" x14ac:dyDescent="0.2">
      <c r="A200" s="4" t="s">
        <v>224</v>
      </c>
      <c r="B200" s="4" t="s">
        <v>234</v>
      </c>
      <c r="C200" s="4" t="s">
        <v>22</v>
      </c>
      <c r="D200" s="4" t="s">
        <v>26</v>
      </c>
      <c r="E200" s="4" t="s">
        <v>23</v>
      </c>
      <c r="F200" s="5">
        <v>74995</v>
      </c>
      <c r="G200" s="5">
        <v>68306</v>
      </c>
      <c r="H200" s="6">
        <v>4.2</v>
      </c>
      <c r="I200" s="5">
        <v>8</v>
      </c>
      <c r="J200" s="5">
        <v>294</v>
      </c>
      <c r="K200" s="5">
        <v>18</v>
      </c>
      <c r="L200" s="5">
        <v>26</v>
      </c>
      <c r="M200" s="5">
        <v>3980</v>
      </c>
      <c r="N200" s="5">
        <v>102</v>
      </c>
      <c r="O200" s="7">
        <v>187</v>
      </c>
      <c r="P200" t="s">
        <v>518</v>
      </c>
    </row>
    <row r="201" spans="1:16" x14ac:dyDescent="0.2">
      <c r="A201" s="4" t="s">
        <v>224</v>
      </c>
      <c r="B201" s="4" t="s">
        <v>235</v>
      </c>
      <c r="C201" s="4" t="s">
        <v>22</v>
      </c>
      <c r="D201" s="4" t="s">
        <v>26</v>
      </c>
      <c r="E201" s="4" t="s">
        <v>23</v>
      </c>
      <c r="F201" s="5">
        <v>81995</v>
      </c>
      <c r="G201" s="5">
        <v>74676</v>
      </c>
      <c r="H201" s="6">
        <v>4.2</v>
      </c>
      <c r="I201" s="5">
        <v>8</v>
      </c>
      <c r="J201" s="5">
        <v>390</v>
      </c>
      <c r="K201" s="5">
        <v>16</v>
      </c>
      <c r="L201" s="5">
        <v>23</v>
      </c>
      <c r="M201" s="5">
        <v>3865</v>
      </c>
      <c r="N201" s="5">
        <v>102</v>
      </c>
      <c r="O201" s="7">
        <v>187</v>
      </c>
      <c r="P201" t="s">
        <v>517</v>
      </c>
    </row>
    <row r="202" spans="1:16" x14ac:dyDescent="0.2">
      <c r="A202" s="4" t="s">
        <v>224</v>
      </c>
      <c r="B202" s="4" t="s">
        <v>236</v>
      </c>
      <c r="C202" s="4" t="s">
        <v>22</v>
      </c>
      <c r="D202" s="4" t="s">
        <v>26</v>
      </c>
      <c r="E202" s="4" t="s">
        <v>23</v>
      </c>
      <c r="F202" s="5">
        <v>86995</v>
      </c>
      <c r="G202" s="5">
        <v>79226</v>
      </c>
      <c r="H202" s="6">
        <v>4.2</v>
      </c>
      <c r="I202" s="5">
        <v>8</v>
      </c>
      <c r="J202" s="5">
        <v>390</v>
      </c>
      <c r="K202" s="5">
        <v>16</v>
      </c>
      <c r="L202" s="5">
        <v>23</v>
      </c>
      <c r="M202" s="5">
        <v>4042</v>
      </c>
      <c r="N202" s="5">
        <v>102</v>
      </c>
      <c r="O202" s="7">
        <v>187</v>
      </c>
      <c r="P202" t="s">
        <v>518</v>
      </c>
    </row>
    <row r="203" spans="1:16" x14ac:dyDescent="0.2">
      <c r="A203" s="4" t="s">
        <v>237</v>
      </c>
      <c r="B203" s="4" t="s">
        <v>238</v>
      </c>
      <c r="C203" s="4" t="s">
        <v>11</v>
      </c>
      <c r="D203" s="4" t="s">
        <v>69</v>
      </c>
      <c r="E203" s="4" t="s">
        <v>16</v>
      </c>
      <c r="F203" s="5">
        <v>27905</v>
      </c>
      <c r="G203" s="5">
        <v>25686</v>
      </c>
      <c r="H203" s="6">
        <v>4</v>
      </c>
      <c r="I203" s="5">
        <v>6</v>
      </c>
      <c r="J203" s="5">
        <v>195</v>
      </c>
      <c r="K203" s="5">
        <v>16</v>
      </c>
      <c r="L203" s="5">
        <v>21</v>
      </c>
      <c r="M203" s="5">
        <v>3790</v>
      </c>
      <c r="N203" s="5">
        <v>106</v>
      </c>
      <c r="O203" s="7">
        <v>181</v>
      </c>
      <c r="P203" t="s">
        <v>517</v>
      </c>
    </row>
    <row r="204" spans="1:16" x14ac:dyDescent="0.2">
      <c r="A204" s="4" t="s">
        <v>237</v>
      </c>
      <c r="B204" s="4" t="s">
        <v>239</v>
      </c>
      <c r="C204" s="4" t="s">
        <v>11</v>
      </c>
      <c r="D204" s="4" t="s">
        <v>69</v>
      </c>
      <c r="E204" s="4" t="s">
        <v>13</v>
      </c>
      <c r="F204" s="5">
        <v>20130</v>
      </c>
      <c r="G204" s="5">
        <v>18973</v>
      </c>
      <c r="H204" s="6">
        <v>2.4</v>
      </c>
      <c r="I204" s="5">
        <v>4</v>
      </c>
      <c r="J204" s="5">
        <v>150</v>
      </c>
      <c r="K204" s="5">
        <v>20</v>
      </c>
      <c r="L204" s="5">
        <v>24</v>
      </c>
      <c r="M204" s="5">
        <v>3826</v>
      </c>
      <c r="N204" s="5">
        <v>104</v>
      </c>
      <c r="O204" s="7">
        <v>174</v>
      </c>
      <c r="P204" t="s">
        <v>518</v>
      </c>
    </row>
    <row r="205" spans="1:16" x14ac:dyDescent="0.2">
      <c r="A205" s="4" t="s">
        <v>237</v>
      </c>
      <c r="B205" s="4" t="s">
        <v>240</v>
      </c>
      <c r="C205" s="4" t="s">
        <v>11</v>
      </c>
      <c r="D205" s="4" t="s">
        <v>69</v>
      </c>
      <c r="E205" s="4" t="s">
        <v>13</v>
      </c>
      <c r="F205" s="5">
        <v>25520</v>
      </c>
      <c r="G205" s="5">
        <v>23275</v>
      </c>
      <c r="H205" s="6">
        <v>4</v>
      </c>
      <c r="I205" s="5">
        <v>6</v>
      </c>
      <c r="J205" s="5">
        <v>190</v>
      </c>
      <c r="K205" s="5">
        <v>16</v>
      </c>
      <c r="L205" s="5">
        <v>19</v>
      </c>
      <c r="M205" s="5">
        <v>3575</v>
      </c>
      <c r="N205" s="5">
        <v>93</v>
      </c>
      <c r="O205" s="7">
        <v>150</v>
      </c>
      <c r="P205" t="s">
        <v>519</v>
      </c>
    </row>
    <row r="206" spans="1:16" x14ac:dyDescent="0.2">
      <c r="A206" s="4" t="s">
        <v>241</v>
      </c>
      <c r="B206" s="4" t="s">
        <v>242</v>
      </c>
      <c r="C206" s="4" t="s">
        <v>11</v>
      </c>
      <c r="D206" s="4" t="s">
        <v>12</v>
      </c>
      <c r="E206" s="4" t="s">
        <v>16</v>
      </c>
      <c r="F206" s="5">
        <v>19635</v>
      </c>
      <c r="G206" s="5">
        <v>18630</v>
      </c>
      <c r="H206" s="6">
        <v>3.5</v>
      </c>
      <c r="I206" s="5">
        <v>6</v>
      </c>
      <c r="J206" s="5">
        <v>192</v>
      </c>
      <c r="K206" s="5">
        <v>16</v>
      </c>
      <c r="L206" s="5">
        <v>19</v>
      </c>
      <c r="M206" s="5">
        <v>4112</v>
      </c>
      <c r="N206" s="5">
        <v>107</v>
      </c>
      <c r="O206" s="7">
        <v>180</v>
      </c>
      <c r="P206" t="s">
        <v>520</v>
      </c>
    </row>
    <row r="207" spans="1:16" x14ac:dyDescent="0.2">
      <c r="A207" s="4" t="s">
        <v>241</v>
      </c>
      <c r="B207" s="4" t="s">
        <v>243</v>
      </c>
      <c r="C207" s="4" t="s">
        <v>15</v>
      </c>
      <c r="D207" s="4" t="s">
        <v>12</v>
      </c>
      <c r="E207" s="4" t="s">
        <v>16</v>
      </c>
      <c r="F207" s="5">
        <v>16040</v>
      </c>
      <c r="G207" s="5">
        <v>14910</v>
      </c>
      <c r="H207" s="6">
        <v>2.4</v>
      </c>
      <c r="I207" s="5">
        <v>4</v>
      </c>
      <c r="J207" s="5">
        <v>138</v>
      </c>
      <c r="K207" s="5">
        <v>23</v>
      </c>
      <c r="L207" s="5">
        <v>30</v>
      </c>
      <c r="M207" s="5">
        <v>3281</v>
      </c>
      <c r="N207" s="5">
        <v>106</v>
      </c>
      <c r="O207" s="7">
        <v>186</v>
      </c>
      <c r="P207" t="s">
        <v>519</v>
      </c>
    </row>
    <row r="208" spans="1:16" x14ac:dyDescent="0.2">
      <c r="A208" s="4" t="s">
        <v>241</v>
      </c>
      <c r="B208" s="4" t="s">
        <v>244</v>
      </c>
      <c r="C208" s="4" t="s">
        <v>15</v>
      </c>
      <c r="D208" s="4" t="s">
        <v>12</v>
      </c>
      <c r="E208" s="4" t="s">
        <v>16</v>
      </c>
      <c r="F208" s="5">
        <v>10280</v>
      </c>
      <c r="G208" s="5">
        <v>9875</v>
      </c>
      <c r="H208" s="6">
        <v>1.6</v>
      </c>
      <c r="I208" s="5">
        <v>4</v>
      </c>
      <c r="J208" s="5">
        <v>104</v>
      </c>
      <c r="K208" s="5">
        <v>26</v>
      </c>
      <c r="L208" s="5">
        <v>33</v>
      </c>
      <c r="M208" s="5">
        <v>2403</v>
      </c>
      <c r="N208" s="5">
        <v>95</v>
      </c>
      <c r="O208" s="7">
        <v>167</v>
      </c>
      <c r="P208" t="s">
        <v>518</v>
      </c>
    </row>
    <row r="209" spans="1:16" x14ac:dyDescent="0.2">
      <c r="A209" s="4" t="s">
        <v>241</v>
      </c>
      <c r="B209" s="4" t="s">
        <v>245</v>
      </c>
      <c r="C209" s="4" t="s">
        <v>15</v>
      </c>
      <c r="D209" s="4" t="s">
        <v>12</v>
      </c>
      <c r="E209" s="4" t="s">
        <v>16</v>
      </c>
      <c r="F209" s="5">
        <v>11155</v>
      </c>
      <c r="G209" s="5">
        <v>10705</v>
      </c>
      <c r="H209" s="6">
        <v>1.6</v>
      </c>
      <c r="I209" s="5">
        <v>4</v>
      </c>
      <c r="J209" s="5">
        <v>104</v>
      </c>
      <c r="K209" s="5">
        <v>25</v>
      </c>
      <c r="L209" s="5">
        <v>32</v>
      </c>
      <c r="M209" s="5">
        <v>2458</v>
      </c>
      <c r="N209" s="5">
        <v>95</v>
      </c>
      <c r="O209" s="7">
        <v>167</v>
      </c>
      <c r="P209" t="s">
        <v>517</v>
      </c>
    </row>
    <row r="210" spans="1:16" x14ac:dyDescent="0.2">
      <c r="A210" s="4" t="s">
        <v>241</v>
      </c>
      <c r="B210" s="4" t="s">
        <v>246</v>
      </c>
      <c r="C210" s="4" t="s">
        <v>15</v>
      </c>
      <c r="D210" s="4" t="s">
        <v>12</v>
      </c>
      <c r="E210" s="4" t="s">
        <v>16</v>
      </c>
      <c r="F210" s="5">
        <v>12360</v>
      </c>
      <c r="G210" s="5">
        <v>11630</v>
      </c>
      <c r="H210" s="6">
        <v>1.8</v>
      </c>
      <c r="I210" s="5">
        <v>4</v>
      </c>
      <c r="J210" s="5">
        <v>124</v>
      </c>
      <c r="K210" s="5">
        <v>24</v>
      </c>
      <c r="L210" s="5">
        <v>32</v>
      </c>
      <c r="M210" s="5">
        <v>2661</v>
      </c>
      <c r="N210" s="5">
        <v>101</v>
      </c>
      <c r="O210" s="7">
        <v>178</v>
      </c>
    </row>
    <row r="211" spans="1:16" x14ac:dyDescent="0.2">
      <c r="A211" s="4" t="s">
        <v>241</v>
      </c>
      <c r="B211" s="4" t="s">
        <v>247</v>
      </c>
      <c r="C211" s="4" t="s">
        <v>15</v>
      </c>
      <c r="D211" s="4" t="s">
        <v>12</v>
      </c>
      <c r="E211" s="4" t="s">
        <v>16</v>
      </c>
      <c r="F211" s="5">
        <v>13580</v>
      </c>
      <c r="G211" s="5">
        <v>12830</v>
      </c>
      <c r="H211" s="6">
        <v>1.8</v>
      </c>
      <c r="I211" s="5">
        <v>4</v>
      </c>
      <c r="J211" s="5">
        <v>124</v>
      </c>
      <c r="K211" s="5">
        <v>24</v>
      </c>
      <c r="L211" s="5">
        <v>32</v>
      </c>
      <c r="M211" s="5">
        <v>2686</v>
      </c>
      <c r="N211" s="5">
        <v>101</v>
      </c>
      <c r="O211" s="7">
        <v>178</v>
      </c>
    </row>
    <row r="212" spans="1:16" x14ac:dyDescent="0.2">
      <c r="A212" s="4" t="s">
        <v>241</v>
      </c>
      <c r="B212" s="4" t="s">
        <v>248</v>
      </c>
      <c r="C212" s="4" t="s">
        <v>15</v>
      </c>
      <c r="D212" s="4" t="s">
        <v>12</v>
      </c>
      <c r="E212" s="4" t="s">
        <v>16</v>
      </c>
      <c r="F212" s="5">
        <v>14630</v>
      </c>
      <c r="G212" s="5">
        <v>13790</v>
      </c>
      <c r="H212" s="6">
        <v>1.8</v>
      </c>
      <c r="I212" s="5">
        <v>4</v>
      </c>
      <c r="J212" s="5">
        <v>124</v>
      </c>
      <c r="K212" s="5">
        <v>24</v>
      </c>
      <c r="L212" s="5">
        <v>32</v>
      </c>
      <c r="M212" s="5">
        <v>2697</v>
      </c>
      <c r="N212" s="5">
        <v>101</v>
      </c>
      <c r="O212" s="7">
        <v>178</v>
      </c>
    </row>
    <row r="213" spans="1:16" x14ac:dyDescent="0.2">
      <c r="A213" s="4" t="s">
        <v>241</v>
      </c>
      <c r="B213" s="4" t="s">
        <v>249</v>
      </c>
      <c r="C213" s="4" t="s">
        <v>15</v>
      </c>
      <c r="D213" s="4" t="s">
        <v>12</v>
      </c>
      <c r="E213" s="4" t="s">
        <v>16</v>
      </c>
      <c r="F213" s="5">
        <v>18435</v>
      </c>
      <c r="G213" s="5">
        <v>16850</v>
      </c>
      <c r="H213" s="6">
        <v>2.7</v>
      </c>
      <c r="I213" s="5">
        <v>6</v>
      </c>
      <c r="J213" s="5">
        <v>170</v>
      </c>
      <c r="K213" s="5">
        <v>20</v>
      </c>
      <c r="L213" s="5">
        <v>27</v>
      </c>
      <c r="M213" s="5">
        <v>3279</v>
      </c>
      <c r="N213" s="5">
        <v>106</v>
      </c>
      <c r="O213" s="7">
        <v>186</v>
      </c>
      <c r="P213" t="s">
        <v>517</v>
      </c>
    </row>
    <row r="214" spans="1:16" x14ac:dyDescent="0.2">
      <c r="A214" s="4" t="s">
        <v>241</v>
      </c>
      <c r="B214" s="4" t="s">
        <v>250</v>
      </c>
      <c r="C214" s="4" t="s">
        <v>15</v>
      </c>
      <c r="D214" s="4" t="s">
        <v>12</v>
      </c>
      <c r="E214" s="4" t="s">
        <v>16</v>
      </c>
      <c r="F214" s="5">
        <v>26000</v>
      </c>
      <c r="G214" s="5">
        <v>23764</v>
      </c>
      <c r="H214" s="6">
        <v>3.5</v>
      </c>
      <c r="I214" s="5">
        <v>6</v>
      </c>
      <c r="J214" s="5">
        <v>195</v>
      </c>
      <c r="K214" s="5">
        <v>17</v>
      </c>
      <c r="L214" s="5">
        <v>25</v>
      </c>
      <c r="M214" s="5">
        <v>4021</v>
      </c>
      <c r="N214" s="5">
        <v>110</v>
      </c>
      <c r="O214" s="7">
        <v>196</v>
      </c>
      <c r="P214" t="s">
        <v>518</v>
      </c>
    </row>
    <row r="215" spans="1:16" x14ac:dyDescent="0.2">
      <c r="A215" s="4" t="s">
        <v>241</v>
      </c>
      <c r="B215" s="4" t="s">
        <v>251</v>
      </c>
      <c r="C215" s="4" t="s">
        <v>15</v>
      </c>
      <c r="D215" s="4" t="s">
        <v>12</v>
      </c>
      <c r="E215" s="4" t="s">
        <v>16</v>
      </c>
      <c r="F215" s="5">
        <v>20615</v>
      </c>
      <c r="G215" s="5">
        <v>19400</v>
      </c>
      <c r="H215" s="6">
        <v>3.5</v>
      </c>
      <c r="I215" s="5">
        <v>6</v>
      </c>
      <c r="J215" s="5">
        <v>195</v>
      </c>
      <c r="K215" s="5">
        <v>16</v>
      </c>
      <c r="L215" s="5">
        <v>22</v>
      </c>
      <c r="M215" s="5">
        <v>4802</v>
      </c>
      <c r="N215" s="5">
        <v>115</v>
      </c>
      <c r="O215" s="7">
        <v>194</v>
      </c>
      <c r="P215" t="s">
        <v>519</v>
      </c>
    </row>
    <row r="216" spans="1:16" x14ac:dyDescent="0.2">
      <c r="A216" s="4" t="s">
        <v>241</v>
      </c>
      <c r="B216" s="4" t="s">
        <v>252</v>
      </c>
      <c r="C216" s="4" t="s">
        <v>44</v>
      </c>
      <c r="D216" s="4" t="s">
        <v>12</v>
      </c>
      <c r="E216" s="4" t="s">
        <v>16</v>
      </c>
      <c r="F216" s="5">
        <v>11905</v>
      </c>
      <c r="G216" s="5">
        <v>11410</v>
      </c>
      <c r="H216" s="6">
        <v>1.6</v>
      </c>
      <c r="I216" s="5">
        <v>4</v>
      </c>
      <c r="J216" s="5">
        <v>104</v>
      </c>
      <c r="K216" s="5">
        <v>26</v>
      </c>
      <c r="L216" s="5">
        <v>33</v>
      </c>
      <c r="M216" s="5">
        <v>2447</v>
      </c>
      <c r="N216" s="5">
        <v>95</v>
      </c>
      <c r="O216" s="7">
        <v>167</v>
      </c>
      <c r="P216" t="s">
        <v>520</v>
      </c>
    </row>
    <row r="217" spans="1:16" x14ac:dyDescent="0.2">
      <c r="A217" s="4" t="s">
        <v>253</v>
      </c>
      <c r="B217" s="4" t="s">
        <v>254</v>
      </c>
      <c r="C217" s="4" t="s">
        <v>11</v>
      </c>
      <c r="D217" s="4" t="s">
        <v>26</v>
      </c>
      <c r="E217" s="4" t="s">
        <v>13</v>
      </c>
      <c r="F217" s="5">
        <v>72250</v>
      </c>
      <c r="G217" s="5">
        <v>65807</v>
      </c>
      <c r="H217" s="6">
        <v>4.4000000000000004</v>
      </c>
      <c r="I217" s="5">
        <v>8</v>
      </c>
      <c r="J217" s="5">
        <v>282</v>
      </c>
      <c r="K217" s="5">
        <v>12</v>
      </c>
      <c r="L217" s="5">
        <v>16</v>
      </c>
      <c r="M217" s="5">
        <v>5379</v>
      </c>
      <c r="N217" s="5">
        <v>113</v>
      </c>
      <c r="O217" s="7">
        <v>195</v>
      </c>
      <c r="P217" t="s">
        <v>519</v>
      </c>
    </row>
    <row r="218" spans="1:16" x14ac:dyDescent="0.2">
      <c r="A218" s="4" t="s">
        <v>253</v>
      </c>
      <c r="B218" s="4" t="s">
        <v>255</v>
      </c>
      <c r="C218" s="4" t="s">
        <v>11</v>
      </c>
      <c r="D218" s="4" t="s">
        <v>26</v>
      </c>
      <c r="E218" s="4" t="s">
        <v>13</v>
      </c>
      <c r="F218" s="5">
        <v>39250</v>
      </c>
      <c r="G218" s="5">
        <v>35777</v>
      </c>
      <c r="H218" s="6">
        <v>4.5999999999999996</v>
      </c>
      <c r="I218" s="5">
        <v>8</v>
      </c>
      <c r="J218" s="5">
        <v>217</v>
      </c>
      <c r="K218" s="5">
        <v>12</v>
      </c>
      <c r="L218" s="5">
        <v>16</v>
      </c>
      <c r="M218" s="5">
        <v>4576</v>
      </c>
      <c r="N218" s="5">
        <v>100</v>
      </c>
      <c r="O218" s="7">
        <v>185</v>
      </c>
      <c r="P218" t="s">
        <v>518</v>
      </c>
    </row>
    <row r="219" spans="1:16" x14ac:dyDescent="0.2">
      <c r="A219" s="4" t="s">
        <v>253</v>
      </c>
      <c r="B219" s="4" t="s">
        <v>256</v>
      </c>
      <c r="C219" s="4" t="s">
        <v>11</v>
      </c>
      <c r="D219" s="4" t="s">
        <v>26</v>
      </c>
      <c r="E219" s="4" t="s">
        <v>13</v>
      </c>
      <c r="F219" s="5">
        <v>25995</v>
      </c>
      <c r="G219" s="5">
        <v>23969</v>
      </c>
      <c r="H219" s="6">
        <v>2.5</v>
      </c>
      <c r="I219" s="5">
        <v>6</v>
      </c>
      <c r="J219" s="5">
        <v>174</v>
      </c>
      <c r="K219" s="5">
        <v>18</v>
      </c>
      <c r="L219" s="5">
        <v>21</v>
      </c>
      <c r="M219" s="5">
        <v>3577</v>
      </c>
      <c r="N219" s="5">
        <v>101</v>
      </c>
      <c r="O219" s="7">
        <v>175</v>
      </c>
      <c r="P219" t="s">
        <v>517</v>
      </c>
    </row>
    <row r="220" spans="1:16" x14ac:dyDescent="0.2">
      <c r="A220" s="4" t="s">
        <v>257</v>
      </c>
      <c r="B220" s="4" t="s">
        <v>258</v>
      </c>
      <c r="C220" s="4" t="s">
        <v>11</v>
      </c>
      <c r="D220" s="4" t="s">
        <v>12</v>
      </c>
      <c r="E220" s="4" t="s">
        <v>13</v>
      </c>
      <c r="F220" s="5">
        <v>45700</v>
      </c>
      <c r="G220" s="5">
        <v>39838</v>
      </c>
      <c r="H220" s="6">
        <v>4.7</v>
      </c>
      <c r="I220" s="5">
        <v>8</v>
      </c>
      <c r="J220" s="5">
        <v>235</v>
      </c>
      <c r="K220" s="5">
        <v>15</v>
      </c>
      <c r="L220" s="5">
        <v>19</v>
      </c>
      <c r="M220" s="5">
        <v>4740</v>
      </c>
      <c r="N220" s="5">
        <v>110</v>
      </c>
      <c r="O220" s="7">
        <v>188</v>
      </c>
      <c r="P220" t="s">
        <v>518</v>
      </c>
    </row>
    <row r="221" spans="1:16" x14ac:dyDescent="0.2">
      <c r="A221" s="4" t="s">
        <v>257</v>
      </c>
      <c r="B221" s="4" t="s">
        <v>259</v>
      </c>
      <c r="C221" s="4" t="s">
        <v>11</v>
      </c>
      <c r="D221" s="4" t="s">
        <v>12</v>
      </c>
      <c r="E221" s="4" t="s">
        <v>13</v>
      </c>
      <c r="F221" s="5">
        <v>64800</v>
      </c>
      <c r="G221" s="5">
        <v>56455</v>
      </c>
      <c r="H221" s="6">
        <v>4.7</v>
      </c>
      <c r="I221" s="5">
        <v>8</v>
      </c>
      <c r="J221" s="5">
        <v>235</v>
      </c>
      <c r="K221" s="5">
        <v>13</v>
      </c>
      <c r="L221" s="5">
        <v>17</v>
      </c>
      <c r="M221" s="5">
        <v>5590</v>
      </c>
      <c r="N221" s="5">
        <v>112</v>
      </c>
      <c r="O221" s="7">
        <v>193</v>
      </c>
      <c r="P221" t="s">
        <v>519</v>
      </c>
    </row>
    <row r="222" spans="1:16" x14ac:dyDescent="0.2">
      <c r="A222" s="4" t="s">
        <v>257</v>
      </c>
      <c r="B222" s="4" t="s">
        <v>260</v>
      </c>
      <c r="C222" s="4" t="s">
        <v>11</v>
      </c>
      <c r="D222" s="4" t="s">
        <v>12</v>
      </c>
      <c r="E222" s="4" t="s">
        <v>13</v>
      </c>
      <c r="F222" s="5">
        <v>39195</v>
      </c>
      <c r="G222" s="5">
        <v>34576</v>
      </c>
      <c r="H222" s="6">
        <v>3.3</v>
      </c>
      <c r="I222" s="5">
        <v>6</v>
      </c>
      <c r="J222" s="5">
        <v>230</v>
      </c>
      <c r="K222" s="5">
        <v>18</v>
      </c>
      <c r="L222" s="5">
        <v>24</v>
      </c>
      <c r="M222" s="5">
        <v>4065</v>
      </c>
      <c r="N222" s="5">
        <v>107</v>
      </c>
      <c r="O222" s="7">
        <v>186</v>
      </c>
      <c r="P222" t="s">
        <v>520</v>
      </c>
    </row>
    <row r="223" spans="1:16" x14ac:dyDescent="0.2">
      <c r="A223" s="4" t="s">
        <v>257</v>
      </c>
      <c r="B223" s="4" t="s">
        <v>261</v>
      </c>
      <c r="C223" s="4" t="s">
        <v>15</v>
      </c>
      <c r="D223" s="4" t="s">
        <v>12</v>
      </c>
      <c r="E223" s="4" t="s">
        <v>16</v>
      </c>
      <c r="F223" s="5">
        <v>32350</v>
      </c>
      <c r="G223" s="5">
        <v>28755</v>
      </c>
      <c r="H223" s="6">
        <v>3.3</v>
      </c>
      <c r="I223" s="5">
        <v>6</v>
      </c>
      <c r="J223" s="5">
        <v>225</v>
      </c>
      <c r="K223" s="5">
        <v>20</v>
      </c>
      <c r="L223" s="5">
        <v>29</v>
      </c>
      <c r="M223" s="5">
        <v>3460</v>
      </c>
      <c r="N223" s="5">
        <v>107</v>
      </c>
      <c r="O223" s="7">
        <v>191</v>
      </c>
      <c r="P223" t="s">
        <v>520</v>
      </c>
    </row>
    <row r="224" spans="1:16" x14ac:dyDescent="0.2">
      <c r="A224" s="4" t="s">
        <v>257</v>
      </c>
      <c r="B224" s="4" t="s">
        <v>262</v>
      </c>
      <c r="C224" s="4" t="s">
        <v>15</v>
      </c>
      <c r="D224" s="4" t="s">
        <v>12</v>
      </c>
      <c r="E224" s="4" t="s">
        <v>23</v>
      </c>
      <c r="F224" s="5">
        <v>31045</v>
      </c>
      <c r="G224" s="5">
        <v>27404</v>
      </c>
      <c r="H224" s="6">
        <v>3</v>
      </c>
      <c r="I224" s="5">
        <v>6</v>
      </c>
      <c r="J224" s="5">
        <v>215</v>
      </c>
      <c r="K224" s="5">
        <v>18</v>
      </c>
      <c r="L224" s="5">
        <v>25</v>
      </c>
      <c r="M224" s="5">
        <v>3255</v>
      </c>
      <c r="N224" s="5">
        <v>105</v>
      </c>
      <c r="O224" s="7">
        <v>177</v>
      </c>
      <c r="P224" t="s">
        <v>519</v>
      </c>
    </row>
    <row r="225" spans="1:16" x14ac:dyDescent="0.2">
      <c r="A225" s="4" t="s">
        <v>257</v>
      </c>
      <c r="B225" s="4" t="s">
        <v>263</v>
      </c>
      <c r="C225" s="4" t="s">
        <v>15</v>
      </c>
      <c r="D225" s="4" t="s">
        <v>12</v>
      </c>
      <c r="E225" s="4" t="s">
        <v>23</v>
      </c>
      <c r="F225" s="5">
        <v>32415</v>
      </c>
      <c r="G225" s="5">
        <v>28611</v>
      </c>
      <c r="H225" s="6">
        <v>3</v>
      </c>
      <c r="I225" s="5">
        <v>6</v>
      </c>
      <c r="J225" s="5">
        <v>215</v>
      </c>
      <c r="K225" s="5">
        <v>18</v>
      </c>
      <c r="L225" s="5">
        <v>24</v>
      </c>
      <c r="M225" s="5">
        <v>3285</v>
      </c>
      <c r="N225" s="5">
        <v>105</v>
      </c>
      <c r="O225" s="7">
        <v>177</v>
      </c>
      <c r="P225" t="s">
        <v>520</v>
      </c>
    </row>
    <row r="226" spans="1:16" x14ac:dyDescent="0.2">
      <c r="A226" s="4" t="s">
        <v>257</v>
      </c>
      <c r="B226" s="4" t="s">
        <v>264</v>
      </c>
      <c r="C226" s="4" t="s">
        <v>15</v>
      </c>
      <c r="D226" s="4" t="s">
        <v>12</v>
      </c>
      <c r="E226" s="4" t="s">
        <v>23</v>
      </c>
      <c r="F226" s="5">
        <v>41010</v>
      </c>
      <c r="G226" s="5">
        <v>36196</v>
      </c>
      <c r="H226" s="6">
        <v>3</v>
      </c>
      <c r="I226" s="5">
        <v>6</v>
      </c>
      <c r="J226" s="5">
        <v>220</v>
      </c>
      <c r="K226" s="5">
        <v>18</v>
      </c>
      <c r="L226" s="5">
        <v>25</v>
      </c>
      <c r="M226" s="5">
        <v>3649</v>
      </c>
      <c r="N226" s="5">
        <v>110</v>
      </c>
      <c r="O226" s="7">
        <v>189</v>
      </c>
      <c r="P226" t="s">
        <v>519</v>
      </c>
    </row>
    <row r="227" spans="1:16" x14ac:dyDescent="0.2">
      <c r="A227" s="4" t="s">
        <v>257</v>
      </c>
      <c r="B227" s="4" t="s">
        <v>265</v>
      </c>
      <c r="C227" s="4" t="s">
        <v>15</v>
      </c>
      <c r="D227" s="4" t="s">
        <v>12</v>
      </c>
      <c r="E227" s="4" t="s">
        <v>23</v>
      </c>
      <c r="F227" s="5">
        <v>48450</v>
      </c>
      <c r="G227" s="5">
        <v>42232</v>
      </c>
      <c r="H227" s="6">
        <v>4.3</v>
      </c>
      <c r="I227" s="5">
        <v>8</v>
      </c>
      <c r="J227" s="5">
        <v>300</v>
      </c>
      <c r="K227" s="5">
        <v>18</v>
      </c>
      <c r="L227" s="5">
        <v>23</v>
      </c>
      <c r="M227" s="5">
        <v>3715</v>
      </c>
      <c r="N227" s="5">
        <v>110</v>
      </c>
      <c r="O227" s="7">
        <v>189</v>
      </c>
    </row>
    <row r="228" spans="1:16" x14ac:dyDescent="0.2">
      <c r="A228" s="4" t="s">
        <v>257</v>
      </c>
      <c r="B228" s="4" t="s">
        <v>266</v>
      </c>
      <c r="C228" s="4" t="s">
        <v>15</v>
      </c>
      <c r="D228" s="4" t="s">
        <v>12</v>
      </c>
      <c r="E228" s="4" t="s">
        <v>23</v>
      </c>
      <c r="F228" s="5">
        <v>55750</v>
      </c>
      <c r="G228" s="5">
        <v>48583</v>
      </c>
      <c r="H228" s="6">
        <v>4.3</v>
      </c>
      <c r="I228" s="5">
        <v>8</v>
      </c>
      <c r="J228" s="5">
        <v>290</v>
      </c>
      <c r="K228" s="5">
        <v>18</v>
      </c>
      <c r="L228" s="5">
        <v>25</v>
      </c>
      <c r="M228" s="5">
        <v>3990</v>
      </c>
      <c r="N228" s="5">
        <v>115</v>
      </c>
      <c r="O228" s="7">
        <v>197</v>
      </c>
    </row>
    <row r="229" spans="1:16" x14ac:dyDescent="0.2">
      <c r="A229" s="4" t="s">
        <v>257</v>
      </c>
      <c r="B229" s="4" t="s">
        <v>267</v>
      </c>
      <c r="C229" s="4" t="s">
        <v>22</v>
      </c>
      <c r="D229" s="4" t="s">
        <v>12</v>
      </c>
      <c r="E229" s="4" t="s">
        <v>23</v>
      </c>
      <c r="F229" s="5">
        <v>63200</v>
      </c>
      <c r="G229" s="5">
        <v>55063</v>
      </c>
      <c r="H229" s="6">
        <v>4.3</v>
      </c>
      <c r="I229" s="5">
        <v>8</v>
      </c>
      <c r="J229" s="5">
        <v>300</v>
      </c>
      <c r="K229" s="5">
        <v>18</v>
      </c>
      <c r="L229" s="5">
        <v>23</v>
      </c>
      <c r="M229" s="5">
        <v>3840</v>
      </c>
      <c r="N229" s="5">
        <v>103</v>
      </c>
      <c r="O229" s="7">
        <v>178</v>
      </c>
      <c r="P229" t="s">
        <v>519</v>
      </c>
    </row>
    <row r="230" spans="1:16" x14ac:dyDescent="0.2">
      <c r="A230" s="4" t="s">
        <v>257</v>
      </c>
      <c r="B230" s="4" t="s">
        <v>268</v>
      </c>
      <c r="C230" s="4" t="s">
        <v>44</v>
      </c>
      <c r="D230" s="4" t="s">
        <v>12</v>
      </c>
      <c r="E230" s="4" t="s">
        <v>23</v>
      </c>
      <c r="F230" s="5">
        <v>32455</v>
      </c>
      <c r="G230" s="5">
        <v>28647</v>
      </c>
      <c r="H230" s="6">
        <v>3</v>
      </c>
      <c r="I230" s="5">
        <v>6</v>
      </c>
      <c r="J230" s="5">
        <v>215</v>
      </c>
      <c r="K230" s="5">
        <v>18</v>
      </c>
      <c r="L230" s="5">
        <v>24</v>
      </c>
      <c r="M230" s="5">
        <v>3410</v>
      </c>
      <c r="N230" s="5">
        <v>105</v>
      </c>
      <c r="O230" s="7">
        <v>177</v>
      </c>
      <c r="P230" t="s">
        <v>518</v>
      </c>
    </row>
    <row r="231" spans="1:16" x14ac:dyDescent="0.2">
      <c r="A231" s="4" t="s">
        <v>269</v>
      </c>
      <c r="B231" s="4" t="s">
        <v>270</v>
      </c>
      <c r="C231" s="4" t="s">
        <v>11</v>
      </c>
      <c r="D231" s="4" t="s">
        <v>69</v>
      </c>
      <c r="E231" s="4" t="s">
        <v>13</v>
      </c>
      <c r="F231" s="5">
        <v>52775</v>
      </c>
      <c r="G231" s="5">
        <v>46360</v>
      </c>
      <c r="H231" s="6">
        <v>5.4</v>
      </c>
      <c r="I231" s="5">
        <v>8</v>
      </c>
      <c r="J231" s="5">
        <v>300</v>
      </c>
      <c r="K231" s="5">
        <v>13</v>
      </c>
      <c r="L231" s="5">
        <v>18</v>
      </c>
      <c r="M231" s="5">
        <v>5969</v>
      </c>
      <c r="N231" s="5">
        <v>119</v>
      </c>
      <c r="O231" s="7">
        <v>206</v>
      </c>
      <c r="P231" t="s">
        <v>517</v>
      </c>
    </row>
    <row r="232" spans="1:16" x14ac:dyDescent="0.2">
      <c r="A232" s="4" t="s">
        <v>269</v>
      </c>
      <c r="B232" s="4" t="s">
        <v>271</v>
      </c>
      <c r="C232" s="4" t="s">
        <v>11</v>
      </c>
      <c r="D232" s="4" t="s">
        <v>69</v>
      </c>
      <c r="E232" s="4" t="s">
        <v>16</v>
      </c>
      <c r="F232" s="5">
        <v>42915</v>
      </c>
      <c r="G232" s="5">
        <v>39443</v>
      </c>
      <c r="H232" s="6">
        <v>4.5999999999999996</v>
      </c>
      <c r="I232" s="5">
        <v>8</v>
      </c>
      <c r="J232" s="5">
        <v>302</v>
      </c>
      <c r="K232" s="5">
        <v>13</v>
      </c>
      <c r="L232" s="5">
        <v>18</v>
      </c>
      <c r="M232" s="5">
        <v>4834</v>
      </c>
      <c r="N232" s="5">
        <v>114</v>
      </c>
      <c r="O232" s="7">
        <v>193</v>
      </c>
      <c r="P232" t="s">
        <v>518</v>
      </c>
    </row>
    <row r="233" spans="1:16" x14ac:dyDescent="0.2">
      <c r="A233" s="4" t="s">
        <v>269</v>
      </c>
      <c r="B233" s="4" t="s">
        <v>272</v>
      </c>
      <c r="C233" s="4" t="s">
        <v>15</v>
      </c>
      <c r="D233" s="4" t="s">
        <v>69</v>
      </c>
      <c r="E233" s="4" t="s">
        <v>23</v>
      </c>
      <c r="F233" s="5">
        <v>32495</v>
      </c>
      <c r="G233" s="5">
        <v>29969</v>
      </c>
      <c r="H233" s="6">
        <v>3</v>
      </c>
      <c r="I233" s="5">
        <v>6</v>
      </c>
      <c r="J233" s="5">
        <v>232</v>
      </c>
      <c r="K233" s="5">
        <v>20</v>
      </c>
      <c r="L233" s="5">
        <v>26</v>
      </c>
      <c r="M233" s="5">
        <v>3681</v>
      </c>
      <c r="N233" s="5">
        <v>115</v>
      </c>
      <c r="O233" s="7">
        <v>194</v>
      </c>
      <c r="P233" t="s">
        <v>517</v>
      </c>
    </row>
    <row r="234" spans="1:16" x14ac:dyDescent="0.2">
      <c r="A234" s="4" t="s">
        <v>269</v>
      </c>
      <c r="B234" s="4" t="s">
        <v>273</v>
      </c>
      <c r="C234" s="4" t="s">
        <v>15</v>
      </c>
      <c r="D234" s="4" t="s">
        <v>69</v>
      </c>
      <c r="E234" s="4" t="s">
        <v>23</v>
      </c>
      <c r="F234" s="5">
        <v>36895</v>
      </c>
      <c r="G234" s="5">
        <v>33929</v>
      </c>
      <c r="H234" s="6">
        <v>3</v>
      </c>
      <c r="I234" s="5">
        <v>6</v>
      </c>
      <c r="J234" s="5">
        <v>232</v>
      </c>
      <c r="K234" s="5">
        <v>20</v>
      </c>
      <c r="L234" s="5">
        <v>26</v>
      </c>
      <c r="M234" s="5">
        <v>3681</v>
      </c>
      <c r="N234" s="5">
        <v>115</v>
      </c>
      <c r="O234" s="7">
        <v>194</v>
      </c>
      <c r="P234" t="s">
        <v>518</v>
      </c>
    </row>
    <row r="235" spans="1:16" x14ac:dyDescent="0.2">
      <c r="A235" s="4" t="s">
        <v>269</v>
      </c>
      <c r="B235" s="4" t="s">
        <v>274</v>
      </c>
      <c r="C235" s="4" t="s">
        <v>15</v>
      </c>
      <c r="D235" s="4" t="s">
        <v>69</v>
      </c>
      <c r="E235" s="4" t="s">
        <v>23</v>
      </c>
      <c r="F235" s="5">
        <v>40095</v>
      </c>
      <c r="G235" s="5">
        <v>36809</v>
      </c>
      <c r="H235" s="6">
        <v>3.9</v>
      </c>
      <c r="I235" s="5">
        <v>8</v>
      </c>
      <c r="J235" s="5">
        <v>280</v>
      </c>
      <c r="K235" s="5">
        <v>17</v>
      </c>
      <c r="L235" s="5">
        <v>24</v>
      </c>
      <c r="M235" s="5">
        <v>3768</v>
      </c>
      <c r="N235" s="5">
        <v>115</v>
      </c>
      <c r="O235" s="7">
        <v>194</v>
      </c>
      <c r="P235" t="s">
        <v>519</v>
      </c>
    </row>
    <row r="236" spans="1:16" x14ac:dyDescent="0.2">
      <c r="A236" s="4" t="s">
        <v>269</v>
      </c>
      <c r="B236" s="4" t="s">
        <v>275</v>
      </c>
      <c r="C236" s="4" t="s">
        <v>15</v>
      </c>
      <c r="D236" s="4" t="s">
        <v>69</v>
      </c>
      <c r="E236" s="4" t="s">
        <v>23</v>
      </c>
      <c r="F236" s="5">
        <v>43495</v>
      </c>
      <c r="G236" s="5">
        <v>39869</v>
      </c>
      <c r="H236" s="6">
        <v>3.9</v>
      </c>
      <c r="I236" s="5">
        <v>8</v>
      </c>
      <c r="J236" s="5">
        <v>280</v>
      </c>
      <c r="K236" s="5">
        <v>17</v>
      </c>
      <c r="L236" s="5">
        <v>24</v>
      </c>
      <c r="M236" s="5">
        <v>3768</v>
      </c>
      <c r="N236" s="5">
        <v>115</v>
      </c>
      <c r="O236" s="7">
        <v>194</v>
      </c>
      <c r="P236" t="s">
        <v>520</v>
      </c>
    </row>
    <row r="237" spans="1:16" x14ac:dyDescent="0.2">
      <c r="A237" s="4" t="s">
        <v>269</v>
      </c>
      <c r="B237" s="4" t="s">
        <v>276</v>
      </c>
      <c r="C237" s="4" t="s">
        <v>15</v>
      </c>
      <c r="D237" s="4" t="s">
        <v>69</v>
      </c>
      <c r="E237" s="4" t="s">
        <v>23</v>
      </c>
      <c r="F237" s="5">
        <v>41815</v>
      </c>
      <c r="G237" s="5">
        <v>38418</v>
      </c>
      <c r="H237" s="6">
        <v>4.5999999999999996</v>
      </c>
      <c r="I237" s="5">
        <v>8</v>
      </c>
      <c r="J237" s="5">
        <v>239</v>
      </c>
      <c r="K237" s="5">
        <v>17</v>
      </c>
      <c r="L237" s="5">
        <v>25</v>
      </c>
      <c r="M237" s="5">
        <v>4369</v>
      </c>
      <c r="N237" s="5">
        <v>118</v>
      </c>
      <c r="O237" s="7">
        <v>215</v>
      </c>
      <c r="P237" t="s">
        <v>519</v>
      </c>
    </row>
    <row r="238" spans="1:16" x14ac:dyDescent="0.2">
      <c r="A238" s="4" t="s">
        <v>269</v>
      </c>
      <c r="B238" s="4" t="s">
        <v>277</v>
      </c>
      <c r="C238" s="4" t="s">
        <v>15</v>
      </c>
      <c r="D238" s="4" t="s">
        <v>69</v>
      </c>
      <c r="E238" s="4" t="s">
        <v>23</v>
      </c>
      <c r="F238" s="5">
        <v>44925</v>
      </c>
      <c r="G238" s="5">
        <v>41217</v>
      </c>
      <c r="H238" s="6">
        <v>4.5999999999999996</v>
      </c>
      <c r="I238" s="5">
        <v>8</v>
      </c>
      <c r="J238" s="5">
        <v>239</v>
      </c>
      <c r="K238" s="5">
        <v>17</v>
      </c>
      <c r="L238" s="5">
        <v>25</v>
      </c>
      <c r="M238" s="5">
        <v>4369</v>
      </c>
      <c r="N238" s="5">
        <v>118</v>
      </c>
      <c r="O238" s="7">
        <v>215</v>
      </c>
      <c r="P238" t="s">
        <v>518</v>
      </c>
    </row>
    <row r="239" spans="1:16" x14ac:dyDescent="0.2">
      <c r="A239" s="4" t="s">
        <v>269</v>
      </c>
      <c r="B239" s="4" t="s">
        <v>278</v>
      </c>
      <c r="C239" s="4" t="s">
        <v>15</v>
      </c>
      <c r="D239" s="4" t="s">
        <v>69</v>
      </c>
      <c r="E239" s="4" t="s">
        <v>23</v>
      </c>
      <c r="F239" s="5">
        <v>50470</v>
      </c>
      <c r="G239" s="5">
        <v>46208</v>
      </c>
      <c r="H239" s="6">
        <v>4.5999999999999996</v>
      </c>
      <c r="I239" s="5">
        <v>8</v>
      </c>
      <c r="J239" s="5">
        <v>239</v>
      </c>
      <c r="K239" s="5">
        <v>17</v>
      </c>
      <c r="L239" s="5">
        <v>25</v>
      </c>
      <c r="M239" s="5">
        <v>4474</v>
      </c>
      <c r="N239" s="5">
        <v>124</v>
      </c>
      <c r="O239" s="7">
        <v>221</v>
      </c>
      <c r="P239" t="s">
        <v>517</v>
      </c>
    </row>
    <row r="240" spans="1:16" x14ac:dyDescent="0.2">
      <c r="A240" s="4" t="s">
        <v>279</v>
      </c>
      <c r="B240" s="4" t="s">
        <v>280</v>
      </c>
      <c r="C240" s="4" t="s">
        <v>15</v>
      </c>
      <c r="D240" s="4" t="s">
        <v>26</v>
      </c>
      <c r="E240" s="4" t="s">
        <v>16</v>
      </c>
      <c r="F240" s="5">
        <v>16999</v>
      </c>
      <c r="G240" s="5">
        <v>15437</v>
      </c>
      <c r="H240" s="6">
        <v>1.6</v>
      </c>
      <c r="I240" s="5">
        <v>4</v>
      </c>
      <c r="J240" s="5">
        <v>115</v>
      </c>
      <c r="K240" s="5">
        <v>28</v>
      </c>
      <c r="L240" s="5">
        <v>37</v>
      </c>
      <c r="M240" s="5">
        <v>2524</v>
      </c>
      <c r="N240" s="5">
        <v>97</v>
      </c>
      <c r="O240" s="7">
        <v>143</v>
      </c>
    </row>
    <row r="241" spans="1:16" x14ac:dyDescent="0.2">
      <c r="A241" s="4" t="s">
        <v>279</v>
      </c>
      <c r="B241" s="4" t="s">
        <v>281</v>
      </c>
      <c r="C241" s="4" t="s">
        <v>15</v>
      </c>
      <c r="D241" s="4" t="s">
        <v>26</v>
      </c>
      <c r="E241" s="4" t="s">
        <v>16</v>
      </c>
      <c r="F241" s="5">
        <v>19999</v>
      </c>
      <c r="G241" s="5">
        <v>18137</v>
      </c>
      <c r="H241" s="6">
        <v>1.6</v>
      </c>
      <c r="I241" s="5">
        <v>4</v>
      </c>
      <c r="J241" s="5">
        <v>163</v>
      </c>
      <c r="K241" s="5">
        <v>25</v>
      </c>
      <c r="L241" s="5">
        <v>34</v>
      </c>
      <c r="M241" s="5">
        <v>2678</v>
      </c>
      <c r="N241" s="5">
        <v>97</v>
      </c>
      <c r="O241" s="7">
        <v>144</v>
      </c>
    </row>
    <row r="242" spans="1:16" x14ac:dyDescent="0.2">
      <c r="A242" s="4" t="s">
        <v>282</v>
      </c>
      <c r="B242" s="4" t="s">
        <v>283</v>
      </c>
      <c r="C242" s="4" t="s">
        <v>11</v>
      </c>
      <c r="D242" s="4" t="s">
        <v>12</v>
      </c>
      <c r="E242" s="4" t="s">
        <v>13</v>
      </c>
      <c r="F242" s="5">
        <v>21087</v>
      </c>
      <c r="G242" s="5">
        <v>19742</v>
      </c>
      <c r="H242" s="6">
        <v>2</v>
      </c>
      <c r="I242" s="5">
        <v>4</v>
      </c>
      <c r="J242" s="5">
        <v>130</v>
      </c>
      <c r="K242" s="5">
        <v>22</v>
      </c>
      <c r="L242" s="5">
        <v>25</v>
      </c>
      <c r="M242" s="5">
        <v>3091</v>
      </c>
      <c r="N242" s="5">
        <v>103</v>
      </c>
      <c r="O242" s="7">
        <v>173</v>
      </c>
    </row>
    <row r="243" spans="1:16" x14ac:dyDescent="0.2">
      <c r="A243" s="4" t="s">
        <v>282</v>
      </c>
      <c r="B243" s="4" t="s">
        <v>284</v>
      </c>
      <c r="C243" s="4" t="s">
        <v>15</v>
      </c>
      <c r="D243" s="4" t="s">
        <v>12</v>
      </c>
      <c r="E243" s="4" t="s">
        <v>16</v>
      </c>
      <c r="F243" s="5">
        <v>15500</v>
      </c>
      <c r="G243" s="5">
        <v>14525</v>
      </c>
      <c r="H243" s="6">
        <v>2</v>
      </c>
      <c r="I243" s="5">
        <v>4</v>
      </c>
      <c r="J243" s="5">
        <v>148</v>
      </c>
      <c r="K243" s="5">
        <v>26</v>
      </c>
      <c r="L243" s="5">
        <v>34</v>
      </c>
      <c r="M243" s="5">
        <v>2696</v>
      </c>
      <c r="N243" s="5">
        <v>104</v>
      </c>
      <c r="O243" s="7">
        <v>178</v>
      </c>
      <c r="P243" t="s">
        <v>517</v>
      </c>
    </row>
    <row r="244" spans="1:16" x14ac:dyDescent="0.2">
      <c r="A244" s="4" t="s">
        <v>282</v>
      </c>
      <c r="B244" s="4" t="s">
        <v>285</v>
      </c>
      <c r="C244" s="4" t="s">
        <v>15</v>
      </c>
      <c r="D244" s="4" t="s">
        <v>12</v>
      </c>
      <c r="E244" s="4" t="s">
        <v>16</v>
      </c>
      <c r="F244" s="5">
        <v>17200</v>
      </c>
      <c r="G244" s="5">
        <v>15922</v>
      </c>
      <c r="H244" s="6">
        <v>2.2999999999999998</v>
      </c>
      <c r="I244" s="5">
        <v>4</v>
      </c>
      <c r="J244" s="5">
        <v>160</v>
      </c>
      <c r="K244" s="5">
        <v>25</v>
      </c>
      <c r="L244" s="5">
        <v>31</v>
      </c>
      <c r="M244" s="5">
        <v>2762</v>
      </c>
      <c r="N244" s="5">
        <v>104</v>
      </c>
      <c r="O244" s="7">
        <v>179</v>
      </c>
      <c r="P244" t="s">
        <v>518</v>
      </c>
    </row>
    <row r="245" spans="1:16" x14ac:dyDescent="0.2">
      <c r="A245" s="4" t="s">
        <v>282</v>
      </c>
      <c r="B245" s="4" t="s">
        <v>286</v>
      </c>
      <c r="C245" s="4" t="s">
        <v>15</v>
      </c>
      <c r="D245" s="4" t="s">
        <v>12</v>
      </c>
      <c r="E245" s="4" t="s">
        <v>16</v>
      </c>
      <c r="F245" s="5">
        <v>19270</v>
      </c>
      <c r="G245" s="5">
        <v>17817</v>
      </c>
      <c r="H245" s="6">
        <v>2.2999999999999998</v>
      </c>
      <c r="I245" s="5">
        <v>4</v>
      </c>
      <c r="J245" s="5">
        <v>160</v>
      </c>
      <c r="K245" s="5">
        <v>24</v>
      </c>
      <c r="L245" s="5">
        <v>32</v>
      </c>
      <c r="M245" s="5">
        <v>3042</v>
      </c>
      <c r="N245" s="5">
        <v>105</v>
      </c>
      <c r="O245" s="7">
        <v>187</v>
      </c>
      <c r="P245" t="s">
        <v>519</v>
      </c>
    </row>
    <row r="246" spans="1:16" x14ac:dyDescent="0.2">
      <c r="A246" s="4" t="s">
        <v>282</v>
      </c>
      <c r="B246" s="4" t="s">
        <v>287</v>
      </c>
      <c r="C246" s="4" t="s">
        <v>15</v>
      </c>
      <c r="D246" s="4" t="s">
        <v>12</v>
      </c>
      <c r="E246" s="4" t="s">
        <v>16</v>
      </c>
      <c r="F246" s="5">
        <v>28750</v>
      </c>
      <c r="G246" s="5">
        <v>26600</v>
      </c>
      <c r="H246" s="6">
        <v>3</v>
      </c>
      <c r="I246" s="5">
        <v>6</v>
      </c>
      <c r="J246" s="5">
        <v>200</v>
      </c>
      <c r="K246" s="5">
        <v>18</v>
      </c>
      <c r="L246" s="5">
        <v>25</v>
      </c>
      <c r="M246" s="5">
        <v>3812</v>
      </c>
      <c r="N246" s="5">
        <v>112</v>
      </c>
      <c r="O246" s="7">
        <v>188</v>
      </c>
      <c r="P246" t="s">
        <v>520</v>
      </c>
    </row>
    <row r="247" spans="1:16" x14ac:dyDescent="0.2">
      <c r="A247" s="4" t="s">
        <v>282</v>
      </c>
      <c r="B247" s="4" t="s">
        <v>288</v>
      </c>
      <c r="C247" s="4" t="s">
        <v>22</v>
      </c>
      <c r="D247" s="4" t="s">
        <v>12</v>
      </c>
      <c r="E247" s="4" t="s">
        <v>23</v>
      </c>
      <c r="F247" s="5">
        <v>22388</v>
      </c>
      <c r="G247" s="5">
        <v>20701</v>
      </c>
      <c r="H247" s="6">
        <v>1.8</v>
      </c>
      <c r="I247" s="5">
        <v>4</v>
      </c>
      <c r="J247" s="5">
        <v>142</v>
      </c>
      <c r="K247" s="5">
        <v>23</v>
      </c>
      <c r="L247" s="5">
        <v>28</v>
      </c>
      <c r="M247" s="5">
        <v>2387</v>
      </c>
      <c r="N247" s="5">
        <v>89</v>
      </c>
      <c r="O247" s="7">
        <v>156</v>
      </c>
      <c r="P247" t="s">
        <v>519</v>
      </c>
    </row>
    <row r="248" spans="1:16" x14ac:dyDescent="0.2">
      <c r="A248" s="4" t="s">
        <v>282</v>
      </c>
      <c r="B248" s="4" t="s">
        <v>289</v>
      </c>
      <c r="C248" s="4" t="s">
        <v>22</v>
      </c>
      <c r="D248" s="4" t="s">
        <v>12</v>
      </c>
      <c r="E248" s="4" t="s">
        <v>23</v>
      </c>
      <c r="F248" s="5">
        <v>25193</v>
      </c>
      <c r="G248" s="5">
        <v>23285</v>
      </c>
      <c r="H248" s="6">
        <v>1.8</v>
      </c>
      <c r="I248" s="5">
        <v>4</v>
      </c>
      <c r="J248" s="5">
        <v>142</v>
      </c>
      <c r="K248" s="5">
        <v>23</v>
      </c>
      <c r="L248" s="5">
        <v>28</v>
      </c>
      <c r="M248" s="5">
        <v>2387</v>
      </c>
      <c r="N248" s="5">
        <v>89</v>
      </c>
      <c r="O248" s="7">
        <v>156</v>
      </c>
      <c r="P248" t="s">
        <v>518</v>
      </c>
    </row>
    <row r="249" spans="1:16" x14ac:dyDescent="0.2">
      <c r="A249" s="4" t="s">
        <v>282</v>
      </c>
      <c r="B249" s="4" t="s">
        <v>290</v>
      </c>
      <c r="C249" s="4" t="s">
        <v>22</v>
      </c>
      <c r="D249" s="4" t="s">
        <v>12</v>
      </c>
      <c r="E249" s="4" t="s">
        <v>23</v>
      </c>
      <c r="F249" s="5">
        <v>25700</v>
      </c>
      <c r="G249" s="5">
        <v>23794</v>
      </c>
      <c r="H249" s="6">
        <v>1.3</v>
      </c>
      <c r="I249" s="5">
        <v>3</v>
      </c>
      <c r="J249" s="5">
        <v>197</v>
      </c>
      <c r="K249" s="5">
        <v>18</v>
      </c>
      <c r="L249" s="5">
        <v>25</v>
      </c>
      <c r="M249" s="5">
        <v>3053</v>
      </c>
      <c r="N249" s="5">
        <v>106</v>
      </c>
      <c r="O249" s="7">
        <v>174</v>
      </c>
      <c r="P249" t="s">
        <v>517</v>
      </c>
    </row>
    <row r="250" spans="1:16" x14ac:dyDescent="0.2">
      <c r="A250" s="4" t="s">
        <v>282</v>
      </c>
      <c r="B250" s="4" t="s">
        <v>291</v>
      </c>
      <c r="C250" s="4" t="s">
        <v>22</v>
      </c>
      <c r="D250" s="4" t="s">
        <v>12</v>
      </c>
      <c r="E250" s="4" t="s">
        <v>23</v>
      </c>
      <c r="F250" s="5">
        <v>27200</v>
      </c>
      <c r="G250" s="5">
        <v>25179</v>
      </c>
      <c r="H250" s="6">
        <v>1.3</v>
      </c>
      <c r="I250" s="5">
        <v>3</v>
      </c>
      <c r="J250" s="5">
        <v>238</v>
      </c>
      <c r="K250" s="5">
        <v>18</v>
      </c>
      <c r="L250" s="5">
        <v>24</v>
      </c>
      <c r="M250" s="5">
        <v>3029</v>
      </c>
      <c r="N250" s="5">
        <v>106</v>
      </c>
      <c r="O250" s="7">
        <v>174</v>
      </c>
      <c r="P250" t="s">
        <v>518</v>
      </c>
    </row>
    <row r="251" spans="1:16" x14ac:dyDescent="0.2">
      <c r="A251" s="4" t="s">
        <v>282</v>
      </c>
      <c r="B251" s="4" t="s">
        <v>292</v>
      </c>
      <c r="C251" s="4" t="s">
        <v>87</v>
      </c>
      <c r="D251" s="4" t="s">
        <v>12</v>
      </c>
      <c r="E251" s="4" t="s">
        <v>23</v>
      </c>
      <c r="F251" s="5">
        <v>14840</v>
      </c>
      <c r="G251" s="5">
        <v>14070</v>
      </c>
      <c r="H251" s="6">
        <v>2.2999999999999998</v>
      </c>
      <c r="I251" s="5">
        <v>4</v>
      </c>
      <c r="J251" s="5">
        <v>143</v>
      </c>
      <c r="K251" s="5">
        <v>24</v>
      </c>
      <c r="L251" s="5">
        <v>29</v>
      </c>
      <c r="M251" s="5">
        <v>2960</v>
      </c>
      <c r="N251" s="5">
        <v>112</v>
      </c>
      <c r="O251" s="7">
        <v>188</v>
      </c>
      <c r="P251" t="s">
        <v>519</v>
      </c>
    </row>
    <row r="252" spans="1:16" x14ac:dyDescent="0.2">
      <c r="A252" s="4" t="s">
        <v>282</v>
      </c>
      <c r="B252" s="4" t="s">
        <v>293</v>
      </c>
      <c r="C252" s="4" t="s">
        <v>87</v>
      </c>
      <c r="D252" s="4" t="s">
        <v>12</v>
      </c>
      <c r="E252" s="4" t="s">
        <v>13</v>
      </c>
      <c r="F252" s="5">
        <v>22350</v>
      </c>
      <c r="G252" s="5">
        <v>20482</v>
      </c>
      <c r="H252" s="6">
        <v>4</v>
      </c>
      <c r="I252" s="5">
        <v>6</v>
      </c>
      <c r="J252" s="5">
        <v>207</v>
      </c>
      <c r="K252" s="5">
        <v>15</v>
      </c>
      <c r="L252" s="5">
        <v>19</v>
      </c>
      <c r="M252" s="5">
        <v>3571</v>
      </c>
      <c r="N252" s="5">
        <v>126</v>
      </c>
      <c r="O252" s="7">
        <v>203</v>
      </c>
      <c r="P252" t="s">
        <v>520</v>
      </c>
    </row>
    <row r="253" spans="1:16" x14ac:dyDescent="0.2">
      <c r="A253" s="4" t="s">
        <v>294</v>
      </c>
      <c r="B253" s="4" t="s">
        <v>295</v>
      </c>
      <c r="C253" s="4" t="s">
        <v>11</v>
      </c>
      <c r="D253" s="4" t="s">
        <v>26</v>
      </c>
      <c r="E253" s="4" t="s">
        <v>13</v>
      </c>
      <c r="F253" s="5">
        <v>76870</v>
      </c>
      <c r="G253" s="5">
        <v>71540</v>
      </c>
      <c r="H253" s="6">
        <v>5</v>
      </c>
      <c r="I253" s="5">
        <v>8</v>
      </c>
      <c r="J253" s="5">
        <v>292</v>
      </c>
      <c r="K253" s="5">
        <v>13</v>
      </c>
      <c r="L253" s="5">
        <v>14</v>
      </c>
      <c r="M253" s="5">
        <v>5423</v>
      </c>
      <c r="N253" s="5">
        <v>112</v>
      </c>
      <c r="O253" s="7">
        <v>186</v>
      </c>
      <c r="P253" t="s">
        <v>520</v>
      </c>
    </row>
    <row r="254" spans="1:16" x14ac:dyDescent="0.2">
      <c r="A254" s="4" t="s">
        <v>294</v>
      </c>
      <c r="B254" s="4" t="s">
        <v>296</v>
      </c>
      <c r="C254" s="4" t="s">
        <v>11</v>
      </c>
      <c r="D254" s="4" t="s">
        <v>26</v>
      </c>
      <c r="E254" s="4" t="s">
        <v>13</v>
      </c>
      <c r="F254" s="5">
        <v>46470</v>
      </c>
      <c r="G254" s="5">
        <v>43268</v>
      </c>
      <c r="H254" s="6">
        <v>5</v>
      </c>
      <c r="I254" s="5">
        <v>8</v>
      </c>
      <c r="J254" s="5">
        <v>288</v>
      </c>
      <c r="K254" s="5">
        <v>14</v>
      </c>
      <c r="L254" s="5">
        <v>17</v>
      </c>
      <c r="M254" s="5">
        <v>4874</v>
      </c>
      <c r="N254" s="5">
        <v>111</v>
      </c>
      <c r="O254" s="7">
        <v>183</v>
      </c>
      <c r="P254" t="s">
        <v>519</v>
      </c>
    </row>
    <row r="255" spans="1:16" x14ac:dyDescent="0.2">
      <c r="A255" s="4" t="s">
        <v>294</v>
      </c>
      <c r="B255" s="4" t="s">
        <v>297</v>
      </c>
      <c r="C255" s="4" t="s">
        <v>15</v>
      </c>
      <c r="D255" s="4" t="s">
        <v>26</v>
      </c>
      <c r="E255" s="4" t="s">
        <v>23</v>
      </c>
      <c r="F255" s="5">
        <v>26060</v>
      </c>
      <c r="G255" s="5">
        <v>24249</v>
      </c>
      <c r="H255" s="6">
        <v>1.8</v>
      </c>
      <c r="I255" s="5">
        <v>4</v>
      </c>
      <c r="J255" s="5">
        <v>189</v>
      </c>
      <c r="K255" s="5">
        <v>22</v>
      </c>
      <c r="L255" s="5">
        <v>30</v>
      </c>
      <c r="M255" s="5">
        <v>3250</v>
      </c>
      <c r="N255" s="5">
        <v>107</v>
      </c>
      <c r="O255" s="7">
        <v>178</v>
      </c>
      <c r="P255" t="s">
        <v>520</v>
      </c>
    </row>
    <row r="256" spans="1:16" x14ac:dyDescent="0.2">
      <c r="A256" s="4" t="s">
        <v>294</v>
      </c>
      <c r="B256" s="4" t="s">
        <v>298</v>
      </c>
      <c r="C256" s="4" t="s">
        <v>15</v>
      </c>
      <c r="D256" s="4" t="s">
        <v>26</v>
      </c>
      <c r="E256" s="4" t="s">
        <v>23</v>
      </c>
      <c r="F256" s="5">
        <v>28370</v>
      </c>
      <c r="G256" s="5">
        <v>26435</v>
      </c>
      <c r="H256" s="6">
        <v>3.2</v>
      </c>
      <c r="I256" s="5">
        <v>6</v>
      </c>
      <c r="J256" s="5">
        <v>215</v>
      </c>
      <c r="K256" s="5">
        <v>19</v>
      </c>
      <c r="L256" s="5">
        <v>26</v>
      </c>
      <c r="M256" s="5">
        <v>3430</v>
      </c>
      <c r="N256" s="5">
        <v>107</v>
      </c>
      <c r="O256" s="7">
        <v>178</v>
      </c>
      <c r="P256" t="s">
        <v>519</v>
      </c>
    </row>
    <row r="257" spans="1:16" x14ac:dyDescent="0.2">
      <c r="A257" s="4" t="s">
        <v>294</v>
      </c>
      <c r="B257" s="4" t="s">
        <v>299</v>
      </c>
      <c r="C257" s="4" t="s">
        <v>15</v>
      </c>
      <c r="D257" s="4" t="s">
        <v>26</v>
      </c>
      <c r="E257" s="4" t="s">
        <v>23</v>
      </c>
      <c r="F257" s="5">
        <v>32280</v>
      </c>
      <c r="G257" s="5">
        <v>30071</v>
      </c>
      <c r="H257" s="6">
        <v>2.6</v>
      </c>
      <c r="I257" s="5">
        <v>6</v>
      </c>
      <c r="J257" s="5">
        <v>168</v>
      </c>
      <c r="K257" s="5">
        <v>20</v>
      </c>
      <c r="L257" s="5">
        <v>25</v>
      </c>
      <c r="M257" s="5">
        <v>3360</v>
      </c>
      <c r="N257" s="5">
        <v>107</v>
      </c>
      <c r="O257" s="7">
        <v>178</v>
      </c>
    </row>
    <row r="258" spans="1:16" x14ac:dyDescent="0.2">
      <c r="A258" s="4" t="s">
        <v>294</v>
      </c>
      <c r="B258" s="4" t="s">
        <v>299</v>
      </c>
      <c r="C258" s="4" t="s">
        <v>15</v>
      </c>
      <c r="D258" s="4" t="s">
        <v>26</v>
      </c>
      <c r="E258" s="4" t="s">
        <v>13</v>
      </c>
      <c r="F258" s="5">
        <v>33480</v>
      </c>
      <c r="G258" s="5">
        <v>31187</v>
      </c>
      <c r="H258" s="6">
        <v>2.6</v>
      </c>
      <c r="I258" s="5">
        <v>6</v>
      </c>
      <c r="J258" s="5">
        <v>168</v>
      </c>
      <c r="K258" s="5">
        <v>19</v>
      </c>
      <c r="L258" s="5">
        <v>25</v>
      </c>
      <c r="M258" s="5">
        <v>3360</v>
      </c>
      <c r="N258" s="5">
        <v>107</v>
      </c>
      <c r="O258" s="7">
        <v>178</v>
      </c>
    </row>
    <row r="259" spans="1:16" x14ac:dyDescent="0.2">
      <c r="A259" s="4" t="s">
        <v>294</v>
      </c>
      <c r="B259" s="4" t="s">
        <v>300</v>
      </c>
      <c r="C259" s="4" t="s">
        <v>15</v>
      </c>
      <c r="D259" s="4" t="s">
        <v>26</v>
      </c>
      <c r="E259" s="4" t="s">
        <v>23</v>
      </c>
      <c r="F259" s="5">
        <v>35920</v>
      </c>
      <c r="G259" s="5">
        <v>33456</v>
      </c>
      <c r="H259" s="6">
        <v>3.2</v>
      </c>
      <c r="I259" s="5">
        <v>6</v>
      </c>
      <c r="J259" s="5">
        <v>215</v>
      </c>
      <c r="K259" s="5">
        <v>19</v>
      </c>
      <c r="L259" s="5">
        <v>26</v>
      </c>
      <c r="M259" s="5">
        <v>3430</v>
      </c>
      <c r="N259" s="5">
        <v>107</v>
      </c>
      <c r="O259" s="7">
        <v>178</v>
      </c>
    </row>
    <row r="260" spans="1:16" x14ac:dyDescent="0.2">
      <c r="A260" s="4" t="s">
        <v>294</v>
      </c>
      <c r="B260" s="4" t="s">
        <v>301</v>
      </c>
      <c r="C260" s="4" t="s">
        <v>15</v>
      </c>
      <c r="D260" s="4" t="s">
        <v>26</v>
      </c>
      <c r="E260" s="4" t="s">
        <v>23</v>
      </c>
      <c r="F260" s="5">
        <v>37630</v>
      </c>
      <c r="G260" s="5">
        <v>35046</v>
      </c>
      <c r="H260" s="6">
        <v>3.2</v>
      </c>
      <c r="I260" s="5">
        <v>6</v>
      </c>
      <c r="J260" s="5">
        <v>215</v>
      </c>
      <c r="K260" s="5">
        <v>20</v>
      </c>
      <c r="L260" s="5">
        <v>26</v>
      </c>
      <c r="M260" s="5">
        <v>3450</v>
      </c>
      <c r="N260" s="5">
        <v>107</v>
      </c>
      <c r="O260" s="7">
        <v>178</v>
      </c>
      <c r="P260" t="s">
        <v>519</v>
      </c>
    </row>
    <row r="261" spans="1:16" x14ac:dyDescent="0.2">
      <c r="A261" s="4" t="s">
        <v>294</v>
      </c>
      <c r="B261" s="4" t="s">
        <v>301</v>
      </c>
      <c r="C261" s="4" t="s">
        <v>15</v>
      </c>
      <c r="D261" s="4" t="s">
        <v>26</v>
      </c>
      <c r="E261" s="4" t="s">
        <v>13</v>
      </c>
      <c r="F261" s="5">
        <v>38830</v>
      </c>
      <c r="G261" s="5">
        <v>36162</v>
      </c>
      <c r="H261" s="6">
        <v>3.2</v>
      </c>
      <c r="I261" s="5">
        <v>6</v>
      </c>
      <c r="J261" s="5">
        <v>215</v>
      </c>
      <c r="K261" s="5">
        <v>19</v>
      </c>
      <c r="L261" s="5">
        <v>27</v>
      </c>
      <c r="M261" s="5">
        <v>3450</v>
      </c>
      <c r="N261" s="5">
        <v>107</v>
      </c>
      <c r="O261" s="7">
        <v>178</v>
      </c>
      <c r="P261" t="s">
        <v>518</v>
      </c>
    </row>
    <row r="262" spans="1:16" x14ac:dyDescent="0.2">
      <c r="A262" s="4" t="s">
        <v>294</v>
      </c>
      <c r="B262" s="4" t="s">
        <v>302</v>
      </c>
      <c r="C262" s="4" t="s">
        <v>15</v>
      </c>
      <c r="D262" s="4" t="s">
        <v>26</v>
      </c>
      <c r="E262" s="4" t="s">
        <v>23</v>
      </c>
      <c r="F262" s="5">
        <v>52120</v>
      </c>
      <c r="G262" s="5">
        <v>48522</v>
      </c>
      <c r="H262" s="6">
        <v>3.2</v>
      </c>
      <c r="I262" s="5">
        <v>6</v>
      </c>
      <c r="J262" s="5">
        <v>349</v>
      </c>
      <c r="K262" s="5">
        <v>16</v>
      </c>
      <c r="L262" s="5">
        <v>21</v>
      </c>
      <c r="M262" s="5">
        <v>3540</v>
      </c>
      <c r="N262" s="5">
        <v>107</v>
      </c>
      <c r="O262" s="7">
        <v>178</v>
      </c>
      <c r="P262" t="s">
        <v>517</v>
      </c>
    </row>
    <row r="263" spans="1:16" x14ac:dyDescent="0.2">
      <c r="A263" s="4" t="s">
        <v>294</v>
      </c>
      <c r="B263" s="4" t="s">
        <v>303</v>
      </c>
      <c r="C263" s="4" t="s">
        <v>15</v>
      </c>
      <c r="D263" s="4" t="s">
        <v>26</v>
      </c>
      <c r="E263" s="4" t="s">
        <v>23</v>
      </c>
      <c r="F263" s="5">
        <v>94820</v>
      </c>
      <c r="G263" s="5">
        <v>88324</v>
      </c>
      <c r="H263" s="6">
        <v>5</v>
      </c>
      <c r="I263" s="5">
        <v>8</v>
      </c>
      <c r="J263" s="5">
        <v>302</v>
      </c>
      <c r="K263" s="5">
        <v>16</v>
      </c>
      <c r="L263" s="5">
        <v>24</v>
      </c>
      <c r="M263" s="5">
        <v>4085</v>
      </c>
      <c r="N263" s="5">
        <v>114</v>
      </c>
      <c r="O263" s="7">
        <v>196</v>
      </c>
      <c r="P263" t="s">
        <v>518</v>
      </c>
    </row>
    <row r="264" spans="1:16" x14ac:dyDescent="0.2">
      <c r="A264" s="4" t="s">
        <v>294</v>
      </c>
      <c r="B264" s="4" t="s">
        <v>304</v>
      </c>
      <c r="C264" s="4" t="s">
        <v>15</v>
      </c>
      <c r="D264" s="4" t="s">
        <v>26</v>
      </c>
      <c r="E264" s="4" t="s">
        <v>23</v>
      </c>
      <c r="F264" s="5">
        <v>128420</v>
      </c>
      <c r="G264" s="5">
        <v>119600</v>
      </c>
      <c r="H264" s="6">
        <v>5.5</v>
      </c>
      <c r="I264" s="5">
        <v>12</v>
      </c>
      <c r="J264" s="5">
        <v>493</v>
      </c>
      <c r="K264" s="5">
        <v>13</v>
      </c>
      <c r="L264" s="5">
        <v>19</v>
      </c>
      <c r="M264" s="5">
        <v>4473</v>
      </c>
      <c r="N264" s="5">
        <v>114</v>
      </c>
      <c r="O264" s="7">
        <v>196</v>
      </c>
      <c r="P264" t="s">
        <v>517</v>
      </c>
    </row>
    <row r="265" spans="1:16" x14ac:dyDescent="0.2">
      <c r="A265" s="4" t="s">
        <v>294</v>
      </c>
      <c r="B265" s="4" t="s">
        <v>305</v>
      </c>
      <c r="C265" s="4" t="s">
        <v>15</v>
      </c>
      <c r="D265" s="4" t="s">
        <v>26</v>
      </c>
      <c r="E265" s="4" t="s">
        <v>23</v>
      </c>
      <c r="F265" s="5">
        <v>45707</v>
      </c>
      <c r="G265" s="5">
        <v>41966</v>
      </c>
      <c r="H265" s="6">
        <v>3.2</v>
      </c>
      <c r="I265" s="5">
        <v>6</v>
      </c>
      <c r="J265" s="5">
        <v>215</v>
      </c>
      <c r="K265" s="5">
        <v>20</v>
      </c>
      <c r="L265" s="5">
        <v>26</v>
      </c>
      <c r="M265" s="5">
        <v>3770</v>
      </c>
      <c r="N265" s="5">
        <v>107</v>
      </c>
      <c r="O265" s="7">
        <v>183</v>
      </c>
      <c r="P265" t="s">
        <v>518</v>
      </c>
    </row>
    <row r="266" spans="1:16" x14ac:dyDescent="0.2">
      <c r="A266" s="4" t="s">
        <v>294</v>
      </c>
      <c r="B266" s="4" t="s">
        <v>306</v>
      </c>
      <c r="C266" s="4" t="s">
        <v>15</v>
      </c>
      <c r="D266" s="4" t="s">
        <v>26</v>
      </c>
      <c r="E266" s="4" t="s">
        <v>23</v>
      </c>
      <c r="F266" s="5">
        <v>52800</v>
      </c>
      <c r="G266" s="5">
        <v>49104</v>
      </c>
      <c r="H266" s="6">
        <v>5</v>
      </c>
      <c r="I266" s="5">
        <v>8</v>
      </c>
      <c r="J266" s="5">
        <v>302</v>
      </c>
      <c r="K266" s="5">
        <v>17</v>
      </c>
      <c r="L266" s="5">
        <v>22</v>
      </c>
      <c r="M266" s="5">
        <v>3585</v>
      </c>
      <c r="N266" s="5">
        <v>107</v>
      </c>
      <c r="O266" s="7">
        <v>183</v>
      </c>
      <c r="P266" t="s">
        <v>519</v>
      </c>
    </row>
    <row r="267" spans="1:16" x14ac:dyDescent="0.2">
      <c r="A267" s="4" t="s">
        <v>294</v>
      </c>
      <c r="B267" s="4" t="s">
        <v>307</v>
      </c>
      <c r="C267" s="4" t="s">
        <v>15</v>
      </c>
      <c r="D267" s="4" t="s">
        <v>26</v>
      </c>
      <c r="E267" s="4" t="s">
        <v>23</v>
      </c>
      <c r="F267" s="5">
        <v>48170</v>
      </c>
      <c r="G267" s="5">
        <v>44849</v>
      </c>
      <c r="H267" s="6">
        <v>3.2</v>
      </c>
      <c r="I267" s="5">
        <v>6</v>
      </c>
      <c r="J267" s="5">
        <v>221</v>
      </c>
      <c r="K267" s="5">
        <v>19</v>
      </c>
      <c r="L267" s="5">
        <v>27</v>
      </c>
      <c r="M267" s="5">
        <v>3635</v>
      </c>
      <c r="N267" s="5">
        <v>112</v>
      </c>
      <c r="O267" s="7">
        <v>190</v>
      </c>
      <c r="P267" t="s">
        <v>520</v>
      </c>
    </row>
    <row r="268" spans="1:16" x14ac:dyDescent="0.2">
      <c r="A268" s="4" t="s">
        <v>294</v>
      </c>
      <c r="B268" s="4" t="s">
        <v>308</v>
      </c>
      <c r="C268" s="4" t="s">
        <v>15</v>
      </c>
      <c r="D268" s="4" t="s">
        <v>26</v>
      </c>
      <c r="E268" s="4" t="s">
        <v>23</v>
      </c>
      <c r="F268" s="5">
        <v>57270</v>
      </c>
      <c r="G268" s="5">
        <v>53382</v>
      </c>
      <c r="H268" s="6">
        <v>5</v>
      </c>
      <c r="I268" s="5">
        <v>8</v>
      </c>
      <c r="J268" s="5">
        <v>302</v>
      </c>
      <c r="K268" s="5">
        <v>16</v>
      </c>
      <c r="L268" s="5">
        <v>20</v>
      </c>
      <c r="M268" s="5">
        <v>3815</v>
      </c>
      <c r="N268" s="5">
        <v>112</v>
      </c>
      <c r="O268" s="7">
        <v>190</v>
      </c>
      <c r="P268" t="s">
        <v>519</v>
      </c>
    </row>
    <row r="269" spans="1:16" x14ac:dyDescent="0.2">
      <c r="A269" s="4" t="s">
        <v>294</v>
      </c>
      <c r="B269" s="4" t="s">
        <v>309</v>
      </c>
      <c r="C269" s="4" t="s">
        <v>15</v>
      </c>
      <c r="D269" s="4" t="s">
        <v>26</v>
      </c>
      <c r="E269" s="4" t="s">
        <v>23</v>
      </c>
      <c r="F269" s="5">
        <v>74320</v>
      </c>
      <c r="G269" s="5">
        <v>69168</v>
      </c>
      <c r="H269" s="6">
        <v>4.3</v>
      </c>
      <c r="I269" s="5">
        <v>8</v>
      </c>
      <c r="J269" s="5">
        <v>275</v>
      </c>
      <c r="K269" s="5">
        <v>18</v>
      </c>
      <c r="L269" s="5">
        <v>26</v>
      </c>
      <c r="M269" s="5">
        <v>4160</v>
      </c>
      <c r="N269" s="5">
        <v>122</v>
      </c>
      <c r="O269" s="7">
        <v>203</v>
      </c>
      <c r="P269" t="s">
        <v>518</v>
      </c>
    </row>
    <row r="270" spans="1:16" x14ac:dyDescent="0.2">
      <c r="A270" s="4" t="s">
        <v>294</v>
      </c>
      <c r="B270" s="4" t="s">
        <v>310</v>
      </c>
      <c r="C270" s="4" t="s">
        <v>15</v>
      </c>
      <c r="D270" s="4" t="s">
        <v>26</v>
      </c>
      <c r="E270" s="4" t="s">
        <v>13</v>
      </c>
      <c r="F270" s="5">
        <v>86970</v>
      </c>
      <c r="G270" s="5">
        <v>80939</v>
      </c>
      <c r="H270" s="6">
        <v>5</v>
      </c>
      <c r="I270" s="5">
        <v>8</v>
      </c>
      <c r="J270" s="5">
        <v>302</v>
      </c>
      <c r="K270" s="5">
        <v>16</v>
      </c>
      <c r="L270" s="5">
        <v>24</v>
      </c>
      <c r="M270" s="5">
        <v>4390</v>
      </c>
      <c r="N270" s="5">
        <v>122</v>
      </c>
      <c r="O270" s="7">
        <v>203</v>
      </c>
      <c r="P270" t="s">
        <v>517</v>
      </c>
    </row>
    <row r="271" spans="1:16" x14ac:dyDescent="0.2">
      <c r="A271" s="4" t="s">
        <v>294</v>
      </c>
      <c r="B271" s="4" t="s">
        <v>311</v>
      </c>
      <c r="C271" s="4" t="s">
        <v>22</v>
      </c>
      <c r="D271" s="4" t="s">
        <v>26</v>
      </c>
      <c r="E271" s="4" t="s">
        <v>23</v>
      </c>
      <c r="F271" s="5">
        <v>90520</v>
      </c>
      <c r="G271" s="5">
        <v>84325</v>
      </c>
      <c r="H271" s="6">
        <v>5</v>
      </c>
      <c r="I271" s="5">
        <v>8</v>
      </c>
      <c r="J271" s="5">
        <v>302</v>
      </c>
      <c r="K271" s="5">
        <v>16</v>
      </c>
      <c r="L271" s="5">
        <v>23</v>
      </c>
      <c r="M271" s="5">
        <v>4065</v>
      </c>
      <c r="N271" s="5">
        <v>101</v>
      </c>
      <c r="O271" s="7">
        <v>179</v>
      </c>
    </row>
    <row r="272" spans="1:16" x14ac:dyDescent="0.2">
      <c r="A272" s="4" t="s">
        <v>294</v>
      </c>
      <c r="B272" s="4" t="s">
        <v>312</v>
      </c>
      <c r="C272" s="4" t="s">
        <v>22</v>
      </c>
      <c r="D272" s="4" t="s">
        <v>26</v>
      </c>
      <c r="E272" s="4" t="s">
        <v>23</v>
      </c>
      <c r="F272" s="5">
        <v>121770</v>
      </c>
      <c r="G272" s="5">
        <v>113388</v>
      </c>
      <c r="H272" s="6">
        <v>5.5</v>
      </c>
      <c r="I272" s="5">
        <v>8</v>
      </c>
      <c r="J272" s="5">
        <v>493</v>
      </c>
      <c r="K272" s="5">
        <v>14</v>
      </c>
      <c r="L272" s="5">
        <v>21</v>
      </c>
      <c r="M272" s="5">
        <v>4235</v>
      </c>
      <c r="N272" s="5">
        <v>101</v>
      </c>
      <c r="O272" s="7">
        <v>179</v>
      </c>
    </row>
    <row r="273" spans="1:16" x14ac:dyDescent="0.2">
      <c r="A273" s="4" t="s">
        <v>294</v>
      </c>
      <c r="B273" s="4" t="s">
        <v>313</v>
      </c>
      <c r="C273" s="4" t="s">
        <v>22</v>
      </c>
      <c r="D273" s="4" t="s">
        <v>26</v>
      </c>
      <c r="E273" s="4" t="s">
        <v>23</v>
      </c>
      <c r="F273" s="5">
        <v>126670</v>
      </c>
      <c r="G273" s="5">
        <v>117854</v>
      </c>
      <c r="H273" s="6">
        <v>5.5</v>
      </c>
      <c r="I273" s="5">
        <v>12</v>
      </c>
      <c r="J273" s="5">
        <v>493</v>
      </c>
      <c r="K273" s="5">
        <v>13</v>
      </c>
      <c r="L273" s="5">
        <v>19</v>
      </c>
      <c r="M273" s="5">
        <v>4429</v>
      </c>
      <c r="N273" s="5">
        <v>101</v>
      </c>
      <c r="O273" s="7">
        <v>179</v>
      </c>
    </row>
    <row r="274" spans="1:16" x14ac:dyDescent="0.2">
      <c r="A274" s="4" t="s">
        <v>294</v>
      </c>
      <c r="B274" s="4" t="s">
        <v>314</v>
      </c>
      <c r="C274" s="4" t="s">
        <v>22</v>
      </c>
      <c r="D274" s="4" t="s">
        <v>26</v>
      </c>
      <c r="E274" s="4" t="s">
        <v>23</v>
      </c>
      <c r="F274" s="5">
        <v>40320</v>
      </c>
      <c r="G274" s="5">
        <v>37548</v>
      </c>
      <c r="H274" s="6">
        <v>2.2999999999999998</v>
      </c>
      <c r="I274" s="5">
        <v>4</v>
      </c>
      <c r="J274" s="5">
        <v>192</v>
      </c>
      <c r="K274" s="5">
        <v>21</v>
      </c>
      <c r="L274" s="5">
        <v>29</v>
      </c>
      <c r="M274" s="5">
        <v>3055</v>
      </c>
      <c r="N274" s="5">
        <v>95</v>
      </c>
      <c r="O274" s="7">
        <v>158</v>
      </c>
      <c r="P274" t="s">
        <v>517</v>
      </c>
    </row>
    <row r="275" spans="1:16" x14ac:dyDescent="0.2">
      <c r="A275" s="4" t="s">
        <v>294</v>
      </c>
      <c r="B275" s="4" t="s">
        <v>315</v>
      </c>
      <c r="C275" s="4" t="s">
        <v>22</v>
      </c>
      <c r="D275" s="4" t="s">
        <v>26</v>
      </c>
      <c r="E275" s="4" t="s">
        <v>23</v>
      </c>
      <c r="F275" s="5">
        <v>56170</v>
      </c>
      <c r="G275" s="5">
        <v>52289</v>
      </c>
      <c r="H275" s="6">
        <v>3.2</v>
      </c>
      <c r="I275" s="5">
        <v>6</v>
      </c>
      <c r="J275" s="5">
        <v>349</v>
      </c>
      <c r="K275" s="5">
        <v>17</v>
      </c>
      <c r="L275" s="5">
        <v>22</v>
      </c>
      <c r="M275" s="5">
        <v>3220</v>
      </c>
      <c r="N275" s="5">
        <v>95</v>
      </c>
      <c r="O275" s="7">
        <v>158</v>
      </c>
      <c r="P275" t="s">
        <v>518</v>
      </c>
    </row>
    <row r="276" spans="1:16" x14ac:dyDescent="0.2">
      <c r="A276" s="4" t="s">
        <v>294</v>
      </c>
      <c r="B276" s="4" t="s">
        <v>316</v>
      </c>
      <c r="C276" s="4" t="s">
        <v>44</v>
      </c>
      <c r="D276" s="4" t="s">
        <v>26</v>
      </c>
      <c r="E276" s="4" t="s">
        <v>23</v>
      </c>
      <c r="F276" s="5">
        <v>33780</v>
      </c>
      <c r="G276" s="5">
        <v>31466</v>
      </c>
      <c r="H276" s="6">
        <v>2.6</v>
      </c>
      <c r="I276" s="5">
        <v>6</v>
      </c>
      <c r="J276" s="5">
        <v>168</v>
      </c>
      <c r="K276" s="5">
        <v>19</v>
      </c>
      <c r="L276" s="5">
        <v>25</v>
      </c>
      <c r="M276" s="5">
        <v>3470</v>
      </c>
      <c r="N276" s="5">
        <v>107</v>
      </c>
      <c r="O276" s="7">
        <v>179</v>
      </c>
      <c r="P276" t="s">
        <v>519</v>
      </c>
    </row>
    <row r="277" spans="1:16" x14ac:dyDescent="0.2">
      <c r="A277" s="4" t="s">
        <v>294</v>
      </c>
      <c r="B277" s="4" t="s">
        <v>317</v>
      </c>
      <c r="C277" s="4" t="s">
        <v>44</v>
      </c>
      <c r="D277" s="4" t="s">
        <v>26</v>
      </c>
      <c r="E277" s="4" t="s">
        <v>23</v>
      </c>
      <c r="F277" s="5">
        <v>50670</v>
      </c>
      <c r="G277" s="5">
        <v>47174</v>
      </c>
      <c r="H277" s="6">
        <v>3.2</v>
      </c>
      <c r="I277" s="5">
        <v>6</v>
      </c>
      <c r="J277" s="5">
        <v>221</v>
      </c>
      <c r="K277" s="5">
        <v>19</v>
      </c>
      <c r="L277" s="5">
        <v>27</v>
      </c>
      <c r="M277" s="5">
        <v>3966</v>
      </c>
      <c r="N277" s="5">
        <v>112</v>
      </c>
      <c r="O277" s="7">
        <v>190</v>
      </c>
      <c r="P277" t="s">
        <v>520</v>
      </c>
    </row>
    <row r="278" spans="1:16" x14ac:dyDescent="0.2">
      <c r="A278" s="4" t="s">
        <v>294</v>
      </c>
      <c r="B278" s="4" t="s">
        <v>318</v>
      </c>
      <c r="C278" s="4" t="s">
        <v>44</v>
      </c>
      <c r="D278" s="4" t="s">
        <v>26</v>
      </c>
      <c r="E278" s="4" t="s">
        <v>13</v>
      </c>
      <c r="F278" s="5">
        <v>60670</v>
      </c>
      <c r="G278" s="5">
        <v>56474</v>
      </c>
      <c r="H278" s="6">
        <v>5</v>
      </c>
      <c r="I278" s="5">
        <v>8</v>
      </c>
      <c r="J278" s="5">
        <v>302</v>
      </c>
      <c r="K278" s="5">
        <v>16</v>
      </c>
      <c r="L278" s="5">
        <v>24</v>
      </c>
      <c r="M278" s="5">
        <v>4230</v>
      </c>
      <c r="N278" s="5">
        <v>112</v>
      </c>
      <c r="O278" s="7">
        <v>190</v>
      </c>
      <c r="P278" t="s">
        <v>519</v>
      </c>
    </row>
    <row r="279" spans="1:16" x14ac:dyDescent="0.2">
      <c r="A279" s="4" t="s">
        <v>319</v>
      </c>
      <c r="B279" s="4" t="s">
        <v>320</v>
      </c>
      <c r="C279" s="4" t="s">
        <v>11</v>
      </c>
      <c r="D279" s="4" t="s">
        <v>69</v>
      </c>
      <c r="E279" s="4" t="s">
        <v>16</v>
      </c>
      <c r="F279" s="5">
        <v>29995</v>
      </c>
      <c r="G279" s="5">
        <v>27317</v>
      </c>
      <c r="H279" s="6">
        <v>4</v>
      </c>
      <c r="I279" s="5">
        <v>6</v>
      </c>
      <c r="J279" s="5">
        <v>210</v>
      </c>
      <c r="K279" s="5">
        <v>16</v>
      </c>
      <c r="L279" s="5">
        <v>21</v>
      </c>
      <c r="M279" s="5">
        <v>4374</v>
      </c>
      <c r="N279" s="5">
        <v>114</v>
      </c>
      <c r="O279" s="7">
        <v>190</v>
      </c>
      <c r="P279" t="s">
        <v>518</v>
      </c>
    </row>
    <row r="280" spans="1:16" x14ac:dyDescent="0.2">
      <c r="A280" s="4" t="s">
        <v>319</v>
      </c>
      <c r="B280" s="4" t="s">
        <v>321</v>
      </c>
      <c r="C280" s="4" t="s">
        <v>15</v>
      </c>
      <c r="D280" s="4" t="s">
        <v>69</v>
      </c>
      <c r="E280" s="4" t="s">
        <v>16</v>
      </c>
      <c r="F280" s="5">
        <v>21595</v>
      </c>
      <c r="G280" s="5">
        <v>19848</v>
      </c>
      <c r="H280" s="6">
        <v>3</v>
      </c>
      <c r="I280" s="5">
        <v>6</v>
      </c>
      <c r="J280" s="5">
        <v>155</v>
      </c>
      <c r="K280" s="5">
        <v>20</v>
      </c>
      <c r="L280" s="5">
        <v>27</v>
      </c>
      <c r="M280" s="5">
        <v>3308</v>
      </c>
      <c r="N280" s="5">
        <v>109</v>
      </c>
      <c r="O280" s="7">
        <v>200</v>
      </c>
      <c r="P280" t="s">
        <v>517</v>
      </c>
    </row>
    <row r="281" spans="1:16" x14ac:dyDescent="0.2">
      <c r="A281" s="4" t="s">
        <v>319</v>
      </c>
      <c r="B281" s="4" t="s">
        <v>322</v>
      </c>
      <c r="C281" s="4" t="s">
        <v>15</v>
      </c>
      <c r="D281" s="4" t="s">
        <v>69</v>
      </c>
      <c r="E281" s="4" t="s">
        <v>23</v>
      </c>
      <c r="F281" s="5">
        <v>24695</v>
      </c>
      <c r="G281" s="5">
        <v>23217</v>
      </c>
      <c r="H281" s="6">
        <v>4.5999999999999996</v>
      </c>
      <c r="I281" s="5">
        <v>8</v>
      </c>
      <c r="J281" s="5">
        <v>224</v>
      </c>
      <c r="K281" s="5">
        <v>17</v>
      </c>
      <c r="L281" s="5">
        <v>25</v>
      </c>
      <c r="M281" s="5">
        <v>4052</v>
      </c>
      <c r="N281" s="5">
        <v>115</v>
      </c>
      <c r="O281" s="7">
        <v>212</v>
      </c>
      <c r="P281" t="s">
        <v>518</v>
      </c>
    </row>
    <row r="282" spans="1:16" x14ac:dyDescent="0.2">
      <c r="A282" s="4" t="s">
        <v>319</v>
      </c>
      <c r="B282" s="4" t="s">
        <v>323</v>
      </c>
      <c r="C282" s="4" t="s">
        <v>15</v>
      </c>
      <c r="D282" s="4" t="s">
        <v>69</v>
      </c>
      <c r="E282" s="4" t="s">
        <v>23</v>
      </c>
      <c r="F282" s="5">
        <v>29595</v>
      </c>
      <c r="G282" s="5">
        <v>27148</v>
      </c>
      <c r="H282" s="6">
        <v>4.5999999999999996</v>
      </c>
      <c r="I282" s="5">
        <v>8</v>
      </c>
      <c r="J282" s="5">
        <v>224</v>
      </c>
      <c r="K282" s="5">
        <v>17</v>
      </c>
      <c r="L282" s="5">
        <v>25</v>
      </c>
      <c r="M282" s="5">
        <v>4052</v>
      </c>
      <c r="N282" s="5">
        <v>115</v>
      </c>
      <c r="O282" s="7">
        <v>212</v>
      </c>
      <c r="P282" t="s">
        <v>519</v>
      </c>
    </row>
    <row r="283" spans="1:16" x14ac:dyDescent="0.2">
      <c r="A283" s="4" t="s">
        <v>319</v>
      </c>
      <c r="B283" s="4" t="s">
        <v>324</v>
      </c>
      <c r="C283" s="4" t="s">
        <v>15</v>
      </c>
      <c r="D283" s="4" t="s">
        <v>69</v>
      </c>
      <c r="E283" s="4" t="s">
        <v>16</v>
      </c>
      <c r="F283" s="5">
        <v>23895</v>
      </c>
      <c r="G283" s="5">
        <v>21918</v>
      </c>
      <c r="H283" s="6">
        <v>3</v>
      </c>
      <c r="I283" s="5">
        <v>6</v>
      </c>
      <c r="J283" s="5">
        <v>201</v>
      </c>
      <c r="K283" s="5">
        <v>19</v>
      </c>
      <c r="L283" s="5">
        <v>26</v>
      </c>
      <c r="M283" s="5">
        <v>3315</v>
      </c>
      <c r="N283" s="5">
        <v>109</v>
      </c>
      <c r="O283" s="7">
        <v>200</v>
      </c>
      <c r="P283" t="s">
        <v>520</v>
      </c>
    </row>
    <row r="284" spans="1:16" x14ac:dyDescent="0.2">
      <c r="A284" s="4" t="s">
        <v>319</v>
      </c>
      <c r="B284" s="4" t="s">
        <v>325</v>
      </c>
      <c r="C284" s="4" t="s">
        <v>15</v>
      </c>
      <c r="D284" s="4" t="s">
        <v>69</v>
      </c>
      <c r="E284" s="4" t="s">
        <v>23</v>
      </c>
      <c r="F284" s="5">
        <v>30895</v>
      </c>
      <c r="G284" s="5">
        <v>28318</v>
      </c>
      <c r="H284" s="6">
        <v>4.5999999999999996</v>
      </c>
      <c r="I284" s="5">
        <v>8</v>
      </c>
      <c r="J284" s="5">
        <v>224</v>
      </c>
      <c r="K284" s="5">
        <v>17</v>
      </c>
      <c r="L284" s="5">
        <v>25</v>
      </c>
      <c r="M284" s="5">
        <v>4052</v>
      </c>
      <c r="N284" s="5">
        <v>115</v>
      </c>
      <c r="O284" s="7">
        <v>212</v>
      </c>
      <c r="P284" t="s">
        <v>520</v>
      </c>
    </row>
    <row r="285" spans="1:16" x14ac:dyDescent="0.2">
      <c r="A285" s="4" t="s">
        <v>319</v>
      </c>
      <c r="B285" s="4" t="s">
        <v>326</v>
      </c>
      <c r="C285" s="4" t="s">
        <v>15</v>
      </c>
      <c r="D285" s="4" t="s">
        <v>69</v>
      </c>
      <c r="E285" s="4" t="s">
        <v>23</v>
      </c>
      <c r="F285" s="5">
        <v>34495</v>
      </c>
      <c r="G285" s="5">
        <v>31558</v>
      </c>
      <c r="H285" s="6">
        <v>4.5999999999999996</v>
      </c>
      <c r="I285" s="5">
        <v>8</v>
      </c>
      <c r="J285" s="5">
        <v>302</v>
      </c>
      <c r="K285" s="5">
        <v>17</v>
      </c>
      <c r="L285" s="5">
        <v>23</v>
      </c>
      <c r="M285" s="5">
        <v>4195</v>
      </c>
      <c r="N285" s="5">
        <v>115</v>
      </c>
      <c r="O285" s="7">
        <v>212</v>
      </c>
      <c r="P285" t="s">
        <v>519</v>
      </c>
    </row>
    <row r="286" spans="1:16" x14ac:dyDescent="0.2">
      <c r="A286" s="4" t="s">
        <v>319</v>
      </c>
      <c r="B286" s="4" t="s">
        <v>327</v>
      </c>
      <c r="C286" s="4" t="s">
        <v>15</v>
      </c>
      <c r="D286" s="4" t="s">
        <v>69</v>
      </c>
      <c r="E286" s="4" t="s">
        <v>16</v>
      </c>
      <c r="F286" s="5">
        <v>33995</v>
      </c>
      <c r="G286" s="5">
        <v>30846</v>
      </c>
      <c r="H286" s="6">
        <v>4.2</v>
      </c>
      <c r="I286" s="5">
        <v>6</v>
      </c>
      <c r="J286" s="5">
        <v>201</v>
      </c>
      <c r="K286" s="5">
        <v>16</v>
      </c>
      <c r="L286" s="5">
        <v>23</v>
      </c>
      <c r="M286" s="5">
        <v>4340</v>
      </c>
      <c r="N286" s="5">
        <v>121</v>
      </c>
      <c r="O286" s="7">
        <v>202</v>
      </c>
      <c r="P286" t="s">
        <v>520</v>
      </c>
    </row>
    <row r="287" spans="1:16" x14ac:dyDescent="0.2">
      <c r="A287" s="4" t="s">
        <v>319</v>
      </c>
      <c r="B287" s="4" t="s">
        <v>328</v>
      </c>
      <c r="C287" s="4" t="s">
        <v>44</v>
      </c>
      <c r="D287" s="4" t="s">
        <v>69</v>
      </c>
      <c r="E287" s="4" t="s">
        <v>16</v>
      </c>
      <c r="F287" s="5">
        <v>22595</v>
      </c>
      <c r="G287" s="5">
        <v>20748</v>
      </c>
      <c r="H287" s="6">
        <v>3</v>
      </c>
      <c r="I287" s="5">
        <v>6</v>
      </c>
      <c r="J287" s="5">
        <v>155</v>
      </c>
      <c r="K287" s="5">
        <v>19</v>
      </c>
      <c r="L287" s="5">
        <v>26</v>
      </c>
      <c r="M287" s="5">
        <v>3488</v>
      </c>
      <c r="N287" s="5">
        <v>109</v>
      </c>
      <c r="O287" s="7">
        <v>198</v>
      </c>
      <c r="P287" t="s">
        <v>519</v>
      </c>
    </row>
    <row r="288" spans="1:16" x14ac:dyDescent="0.2">
      <c r="A288" s="4" t="s">
        <v>329</v>
      </c>
      <c r="B288" s="4" t="s">
        <v>330</v>
      </c>
      <c r="C288" s="4" t="s">
        <v>11</v>
      </c>
      <c r="D288" s="4" t="s">
        <v>12</v>
      </c>
      <c r="E288" s="4" t="s">
        <v>13</v>
      </c>
      <c r="F288" s="5">
        <v>30492</v>
      </c>
      <c r="G288" s="5">
        <v>28330</v>
      </c>
      <c r="H288" s="6">
        <v>3.8</v>
      </c>
      <c r="I288" s="5">
        <v>6</v>
      </c>
      <c r="J288" s="5">
        <v>215</v>
      </c>
      <c r="K288" s="5">
        <v>17</v>
      </c>
      <c r="L288" s="5">
        <v>21</v>
      </c>
      <c r="M288" s="5">
        <v>4134</v>
      </c>
      <c r="N288" s="5">
        <v>109</v>
      </c>
      <c r="O288" s="7">
        <v>190</v>
      </c>
    </row>
    <row r="289" spans="1:16" x14ac:dyDescent="0.2">
      <c r="A289" s="4" t="s">
        <v>329</v>
      </c>
      <c r="B289" s="4" t="s">
        <v>331</v>
      </c>
      <c r="C289" s="4" t="s">
        <v>11</v>
      </c>
      <c r="D289" s="4" t="s">
        <v>12</v>
      </c>
      <c r="E289" s="4" t="s">
        <v>13</v>
      </c>
      <c r="F289" s="5">
        <v>33112</v>
      </c>
      <c r="G289" s="5">
        <v>30763</v>
      </c>
      <c r="H289" s="6">
        <v>3.8</v>
      </c>
      <c r="I289" s="5">
        <v>6</v>
      </c>
      <c r="J289" s="5">
        <v>215</v>
      </c>
      <c r="K289" s="5">
        <v>15</v>
      </c>
      <c r="L289" s="5">
        <v>19</v>
      </c>
      <c r="M289" s="5">
        <v>4718</v>
      </c>
      <c r="N289" s="5">
        <v>110</v>
      </c>
      <c r="O289" s="7">
        <v>190</v>
      </c>
    </row>
    <row r="290" spans="1:16" x14ac:dyDescent="0.2">
      <c r="A290" s="4" t="s">
        <v>329</v>
      </c>
      <c r="B290" s="4" t="s">
        <v>332</v>
      </c>
      <c r="C290" s="4" t="s">
        <v>11</v>
      </c>
      <c r="D290" s="4" t="s">
        <v>12</v>
      </c>
      <c r="E290" s="4" t="s">
        <v>16</v>
      </c>
      <c r="F290" s="5">
        <v>18892</v>
      </c>
      <c r="G290" s="5">
        <v>17569</v>
      </c>
      <c r="H290" s="6">
        <v>2.4</v>
      </c>
      <c r="I290" s="5">
        <v>4</v>
      </c>
      <c r="J290" s="5">
        <v>160</v>
      </c>
      <c r="K290" s="5">
        <v>21</v>
      </c>
      <c r="L290" s="5">
        <v>27</v>
      </c>
      <c r="M290" s="5">
        <v>3240</v>
      </c>
      <c r="N290" s="5">
        <v>103</v>
      </c>
      <c r="O290" s="7">
        <v>179</v>
      </c>
      <c r="P290" t="s">
        <v>519</v>
      </c>
    </row>
    <row r="291" spans="1:16" x14ac:dyDescent="0.2">
      <c r="A291" s="4" t="s">
        <v>329</v>
      </c>
      <c r="B291" s="4" t="s">
        <v>333</v>
      </c>
      <c r="C291" s="4" t="s">
        <v>15</v>
      </c>
      <c r="D291" s="4" t="s">
        <v>12</v>
      </c>
      <c r="E291" s="4" t="s">
        <v>16</v>
      </c>
      <c r="F291" s="5">
        <v>14622</v>
      </c>
      <c r="G291" s="5">
        <v>13751</v>
      </c>
      <c r="H291" s="6">
        <v>2</v>
      </c>
      <c r="I291" s="5">
        <v>4</v>
      </c>
      <c r="J291" s="5">
        <v>120</v>
      </c>
      <c r="K291" s="5">
        <v>25</v>
      </c>
      <c r="L291" s="5">
        <v>31</v>
      </c>
      <c r="M291" s="5">
        <v>2656</v>
      </c>
      <c r="N291" s="5">
        <v>102</v>
      </c>
      <c r="O291" s="7">
        <v>181</v>
      </c>
      <c r="P291" t="s">
        <v>518</v>
      </c>
    </row>
    <row r="292" spans="1:16" x14ac:dyDescent="0.2">
      <c r="A292" s="4" t="s">
        <v>329</v>
      </c>
      <c r="B292" s="4" t="s">
        <v>334</v>
      </c>
      <c r="C292" s="4" t="s">
        <v>15</v>
      </c>
      <c r="D292" s="4" t="s">
        <v>12</v>
      </c>
      <c r="E292" s="4" t="s">
        <v>16</v>
      </c>
      <c r="F292" s="5">
        <v>16722</v>
      </c>
      <c r="G292" s="5">
        <v>15718</v>
      </c>
      <c r="H292" s="6">
        <v>2</v>
      </c>
      <c r="I292" s="5">
        <v>4</v>
      </c>
      <c r="J292" s="5">
        <v>120</v>
      </c>
      <c r="K292" s="5">
        <v>25</v>
      </c>
      <c r="L292" s="5">
        <v>31</v>
      </c>
      <c r="M292" s="5">
        <v>2795</v>
      </c>
      <c r="N292" s="5">
        <v>102</v>
      </c>
      <c r="O292" s="7">
        <v>181</v>
      </c>
      <c r="P292" t="s">
        <v>517</v>
      </c>
    </row>
    <row r="293" spans="1:16" x14ac:dyDescent="0.2">
      <c r="A293" s="4" t="s">
        <v>329</v>
      </c>
      <c r="B293" s="4" t="s">
        <v>335</v>
      </c>
      <c r="C293" s="4" t="s">
        <v>15</v>
      </c>
      <c r="D293" s="4" t="s">
        <v>12</v>
      </c>
      <c r="E293" s="4" t="s">
        <v>16</v>
      </c>
      <c r="F293" s="5">
        <v>19312</v>
      </c>
      <c r="G293" s="5">
        <v>17957</v>
      </c>
      <c r="H293" s="6">
        <v>2.4</v>
      </c>
      <c r="I293" s="5">
        <v>4</v>
      </c>
      <c r="J293" s="5">
        <v>160</v>
      </c>
      <c r="K293" s="5">
        <v>23</v>
      </c>
      <c r="L293" s="5">
        <v>30</v>
      </c>
      <c r="M293" s="5">
        <v>3351</v>
      </c>
      <c r="N293" s="5">
        <v>108</v>
      </c>
      <c r="O293" s="7">
        <v>191</v>
      </c>
      <c r="P293" t="s">
        <v>518</v>
      </c>
    </row>
    <row r="294" spans="1:16" x14ac:dyDescent="0.2">
      <c r="A294" s="4" t="s">
        <v>329</v>
      </c>
      <c r="B294" s="4" t="s">
        <v>336</v>
      </c>
      <c r="C294" s="4" t="s">
        <v>15</v>
      </c>
      <c r="D294" s="4" t="s">
        <v>12</v>
      </c>
      <c r="E294" s="4" t="s">
        <v>16</v>
      </c>
      <c r="F294" s="5">
        <v>17232</v>
      </c>
      <c r="G294" s="5">
        <v>16196</v>
      </c>
      <c r="H294" s="6">
        <v>2</v>
      </c>
      <c r="I294" s="5">
        <v>4</v>
      </c>
      <c r="J294" s="5">
        <v>120</v>
      </c>
      <c r="K294" s="5">
        <v>25</v>
      </c>
      <c r="L294" s="5">
        <v>31</v>
      </c>
      <c r="M294" s="5">
        <v>2744</v>
      </c>
      <c r="N294" s="5">
        <v>102</v>
      </c>
      <c r="O294" s="7">
        <v>181</v>
      </c>
      <c r="P294" t="s">
        <v>517</v>
      </c>
    </row>
    <row r="295" spans="1:16" x14ac:dyDescent="0.2">
      <c r="A295" s="4" t="s">
        <v>329</v>
      </c>
      <c r="B295" s="4" t="s">
        <v>337</v>
      </c>
      <c r="C295" s="4" t="s">
        <v>15</v>
      </c>
      <c r="D295" s="4" t="s">
        <v>12</v>
      </c>
      <c r="E295" s="4" t="s">
        <v>16</v>
      </c>
      <c r="F295" s="5">
        <v>29282</v>
      </c>
      <c r="G295" s="5">
        <v>27250</v>
      </c>
      <c r="H295" s="6">
        <v>3.5</v>
      </c>
      <c r="I295" s="5">
        <v>6</v>
      </c>
      <c r="J295" s="5">
        <v>205</v>
      </c>
      <c r="K295" s="5">
        <v>18</v>
      </c>
      <c r="L295" s="5">
        <v>25</v>
      </c>
      <c r="M295" s="5">
        <v>3549</v>
      </c>
      <c r="N295" s="5">
        <v>107</v>
      </c>
      <c r="O295" s="7">
        <v>194</v>
      </c>
      <c r="P295" t="s">
        <v>518</v>
      </c>
    </row>
    <row r="296" spans="1:16" x14ac:dyDescent="0.2">
      <c r="A296" s="4" t="s">
        <v>329</v>
      </c>
      <c r="B296" s="4" t="s">
        <v>338</v>
      </c>
      <c r="C296" s="4" t="s">
        <v>15</v>
      </c>
      <c r="D296" s="4" t="s">
        <v>12</v>
      </c>
      <c r="E296" s="4" t="s">
        <v>16</v>
      </c>
      <c r="F296" s="5">
        <v>25700</v>
      </c>
      <c r="G296" s="5">
        <v>23883</v>
      </c>
      <c r="H296" s="6">
        <v>3.8</v>
      </c>
      <c r="I296" s="5">
        <v>6</v>
      </c>
      <c r="J296" s="5">
        <v>230</v>
      </c>
      <c r="K296" s="5">
        <v>18</v>
      </c>
      <c r="L296" s="5">
        <v>26</v>
      </c>
      <c r="M296" s="5">
        <v>3649</v>
      </c>
      <c r="N296" s="5">
        <v>108</v>
      </c>
      <c r="O296" s="7">
        <v>191</v>
      </c>
      <c r="P296" t="s">
        <v>519</v>
      </c>
    </row>
    <row r="297" spans="1:16" x14ac:dyDescent="0.2">
      <c r="A297" s="4" t="s">
        <v>329</v>
      </c>
      <c r="B297" s="4" t="s">
        <v>339</v>
      </c>
      <c r="C297" s="4" t="s">
        <v>22</v>
      </c>
      <c r="D297" s="4" t="s">
        <v>12</v>
      </c>
      <c r="E297" s="4" t="s">
        <v>16</v>
      </c>
      <c r="F297" s="5">
        <v>25092</v>
      </c>
      <c r="G297" s="5">
        <v>23456</v>
      </c>
      <c r="H297" s="6">
        <v>3</v>
      </c>
      <c r="I297" s="5">
        <v>6</v>
      </c>
      <c r="J297" s="5">
        <v>210</v>
      </c>
      <c r="K297" s="5">
        <v>21</v>
      </c>
      <c r="L297" s="5">
        <v>28</v>
      </c>
      <c r="M297" s="5">
        <v>3241</v>
      </c>
      <c r="N297" s="5">
        <v>101</v>
      </c>
      <c r="O297" s="7">
        <v>177</v>
      </c>
      <c r="P297" t="s">
        <v>520</v>
      </c>
    </row>
    <row r="298" spans="1:16" x14ac:dyDescent="0.2">
      <c r="A298" s="4" t="s">
        <v>329</v>
      </c>
      <c r="B298" s="4" t="s">
        <v>340</v>
      </c>
      <c r="C298" s="4" t="s">
        <v>22</v>
      </c>
      <c r="D298" s="4" t="s">
        <v>12</v>
      </c>
      <c r="E298" s="4" t="s">
        <v>16</v>
      </c>
      <c r="F298" s="5">
        <v>26992</v>
      </c>
      <c r="G298" s="5">
        <v>25218</v>
      </c>
      <c r="H298" s="6">
        <v>3</v>
      </c>
      <c r="I298" s="5">
        <v>6</v>
      </c>
      <c r="J298" s="5">
        <v>210</v>
      </c>
      <c r="K298" s="5">
        <v>21</v>
      </c>
      <c r="L298" s="5">
        <v>28</v>
      </c>
      <c r="M298" s="5">
        <v>3296</v>
      </c>
      <c r="N298" s="5">
        <v>101</v>
      </c>
      <c r="O298" s="7">
        <v>177</v>
      </c>
      <c r="P298" t="s">
        <v>519</v>
      </c>
    </row>
    <row r="299" spans="1:16" x14ac:dyDescent="0.2">
      <c r="A299" s="4" t="s">
        <v>329</v>
      </c>
      <c r="B299" s="4" t="s">
        <v>341</v>
      </c>
      <c r="C299" s="4" t="s">
        <v>22</v>
      </c>
      <c r="D299" s="4" t="s">
        <v>12</v>
      </c>
      <c r="E299" s="4" t="s">
        <v>16</v>
      </c>
      <c r="F299" s="5">
        <v>29562</v>
      </c>
      <c r="G299" s="5">
        <v>27466</v>
      </c>
      <c r="H299" s="6">
        <v>2</v>
      </c>
      <c r="I299" s="5">
        <v>4</v>
      </c>
      <c r="J299" s="5">
        <v>271</v>
      </c>
      <c r="K299" s="5">
        <v>18</v>
      </c>
      <c r="L299" s="5">
        <v>26</v>
      </c>
      <c r="M299" s="5">
        <v>3263</v>
      </c>
      <c r="N299" s="5">
        <v>103</v>
      </c>
      <c r="O299" s="7">
        <v>179</v>
      </c>
      <c r="P299" t="s">
        <v>518</v>
      </c>
    </row>
    <row r="300" spans="1:16" x14ac:dyDescent="0.2">
      <c r="A300" s="4" t="s">
        <v>329</v>
      </c>
      <c r="B300" s="4" t="s">
        <v>342</v>
      </c>
      <c r="C300" s="4" t="s">
        <v>44</v>
      </c>
      <c r="D300" s="4" t="s">
        <v>12</v>
      </c>
      <c r="E300" s="4" t="s">
        <v>16</v>
      </c>
      <c r="F300" s="5">
        <v>17495</v>
      </c>
      <c r="G300" s="5">
        <v>16295</v>
      </c>
      <c r="H300" s="6">
        <v>2.4</v>
      </c>
      <c r="I300" s="5">
        <v>4</v>
      </c>
      <c r="J300" s="5">
        <v>160</v>
      </c>
      <c r="K300" s="5">
        <v>25</v>
      </c>
      <c r="L300" s="5">
        <v>31</v>
      </c>
      <c r="M300" s="5">
        <v>3020</v>
      </c>
      <c r="N300" s="5">
        <v>102</v>
      </c>
      <c r="O300" s="7">
        <v>181</v>
      </c>
      <c r="P300" t="s">
        <v>517</v>
      </c>
    </row>
    <row r="301" spans="1:16" x14ac:dyDescent="0.2">
      <c r="A301" s="4" t="s">
        <v>343</v>
      </c>
      <c r="B301" s="4" t="s">
        <v>344</v>
      </c>
      <c r="C301" s="4" t="s">
        <v>11</v>
      </c>
      <c r="D301" s="4" t="s">
        <v>12</v>
      </c>
      <c r="E301" s="4" t="s">
        <v>16</v>
      </c>
      <c r="F301" s="5">
        <v>33840</v>
      </c>
      <c r="G301" s="5">
        <v>30815</v>
      </c>
      <c r="H301" s="6">
        <v>5.6</v>
      </c>
      <c r="I301" s="5">
        <v>8</v>
      </c>
      <c r="J301" s="5">
        <v>305</v>
      </c>
      <c r="K301" s="5">
        <v>13</v>
      </c>
      <c r="L301" s="5">
        <v>19</v>
      </c>
      <c r="M301" s="5">
        <v>5013</v>
      </c>
      <c r="N301" s="5">
        <v>123</v>
      </c>
      <c r="O301" s="7">
        <v>207</v>
      </c>
    </row>
    <row r="302" spans="1:16" x14ac:dyDescent="0.2">
      <c r="A302" s="4" t="s">
        <v>343</v>
      </c>
      <c r="B302" s="4" t="s">
        <v>345</v>
      </c>
      <c r="C302" s="4" t="s">
        <v>11</v>
      </c>
      <c r="D302" s="4" t="s">
        <v>12</v>
      </c>
      <c r="E302" s="4" t="s">
        <v>16</v>
      </c>
      <c r="F302" s="5">
        <v>27339</v>
      </c>
      <c r="G302" s="5">
        <v>25972</v>
      </c>
      <c r="H302" s="6">
        <v>3.5</v>
      </c>
      <c r="I302" s="5">
        <v>6</v>
      </c>
      <c r="J302" s="5">
        <v>240</v>
      </c>
      <c r="K302" s="5">
        <v>16</v>
      </c>
      <c r="L302" s="5">
        <v>21</v>
      </c>
      <c r="M302" s="5">
        <v>3871</v>
      </c>
      <c r="N302" s="5">
        <v>106</v>
      </c>
      <c r="O302" s="7">
        <v>183</v>
      </c>
    </row>
    <row r="303" spans="1:16" x14ac:dyDescent="0.2">
      <c r="A303" s="4" t="s">
        <v>343</v>
      </c>
      <c r="B303" s="4" t="s">
        <v>346</v>
      </c>
      <c r="C303" s="4" t="s">
        <v>11</v>
      </c>
      <c r="D303" s="4" t="s">
        <v>12</v>
      </c>
      <c r="E303" s="4" t="s">
        <v>16</v>
      </c>
      <c r="F303" s="5">
        <v>20939</v>
      </c>
      <c r="G303" s="5">
        <v>19512</v>
      </c>
      <c r="H303" s="6">
        <v>3.3</v>
      </c>
      <c r="I303" s="5">
        <v>6</v>
      </c>
      <c r="J303" s="5">
        <v>180</v>
      </c>
      <c r="K303" s="5">
        <v>17</v>
      </c>
      <c r="L303" s="5">
        <v>20</v>
      </c>
      <c r="M303" s="5">
        <v>3760</v>
      </c>
      <c r="N303" s="5">
        <v>104</v>
      </c>
      <c r="O303" s="7">
        <v>178</v>
      </c>
    </row>
    <row r="304" spans="1:16" x14ac:dyDescent="0.2">
      <c r="A304" s="4" t="s">
        <v>343</v>
      </c>
      <c r="B304" s="4" t="s">
        <v>347</v>
      </c>
      <c r="C304" s="4" t="s">
        <v>15</v>
      </c>
      <c r="D304" s="4" t="s">
        <v>12</v>
      </c>
      <c r="E304" s="4" t="s">
        <v>16</v>
      </c>
      <c r="F304" s="5">
        <v>12740</v>
      </c>
      <c r="G304" s="5">
        <v>12205</v>
      </c>
      <c r="H304" s="6">
        <v>1.8</v>
      </c>
      <c r="I304" s="5">
        <v>4</v>
      </c>
      <c r="J304" s="5">
        <v>126</v>
      </c>
      <c r="K304" s="5">
        <v>28</v>
      </c>
      <c r="L304" s="5">
        <v>35</v>
      </c>
      <c r="M304" s="5">
        <v>2513</v>
      </c>
      <c r="N304" s="5">
        <v>100</v>
      </c>
      <c r="O304" s="7">
        <v>178</v>
      </c>
      <c r="P304" t="s">
        <v>517</v>
      </c>
    </row>
    <row r="305" spans="1:16" x14ac:dyDescent="0.2">
      <c r="A305" s="4" t="s">
        <v>343</v>
      </c>
      <c r="B305" s="4" t="s">
        <v>348</v>
      </c>
      <c r="C305" s="4" t="s">
        <v>15</v>
      </c>
      <c r="D305" s="4" t="s">
        <v>12</v>
      </c>
      <c r="E305" s="4" t="s">
        <v>16</v>
      </c>
      <c r="F305" s="5">
        <v>14740</v>
      </c>
      <c r="G305" s="5">
        <v>13747</v>
      </c>
      <c r="H305" s="6">
        <v>1.8</v>
      </c>
      <c r="I305" s="5">
        <v>4</v>
      </c>
      <c r="J305" s="5">
        <v>126</v>
      </c>
      <c r="K305" s="5">
        <v>28</v>
      </c>
      <c r="L305" s="5">
        <v>35</v>
      </c>
      <c r="M305" s="5">
        <v>2581</v>
      </c>
      <c r="N305" s="5">
        <v>100</v>
      </c>
      <c r="O305" s="7">
        <v>178</v>
      </c>
      <c r="P305" t="s">
        <v>518</v>
      </c>
    </row>
    <row r="306" spans="1:16" x14ac:dyDescent="0.2">
      <c r="A306" s="4" t="s">
        <v>343</v>
      </c>
      <c r="B306" s="4" t="s">
        <v>349</v>
      </c>
      <c r="C306" s="4" t="s">
        <v>15</v>
      </c>
      <c r="D306" s="4" t="s">
        <v>12</v>
      </c>
      <c r="E306" s="4" t="s">
        <v>16</v>
      </c>
      <c r="F306" s="5">
        <v>19240</v>
      </c>
      <c r="G306" s="5">
        <v>18030</v>
      </c>
      <c r="H306" s="6">
        <v>2.5</v>
      </c>
      <c r="I306" s="5">
        <v>4</v>
      </c>
      <c r="J306" s="5">
        <v>175</v>
      </c>
      <c r="K306" s="5">
        <v>21</v>
      </c>
      <c r="L306" s="5">
        <v>26</v>
      </c>
      <c r="M306" s="5">
        <v>3039</v>
      </c>
      <c r="N306" s="5">
        <v>110</v>
      </c>
      <c r="O306" s="7">
        <v>192</v>
      </c>
      <c r="P306" t="s">
        <v>519</v>
      </c>
    </row>
    <row r="307" spans="1:16" x14ac:dyDescent="0.2">
      <c r="A307" s="4" t="s">
        <v>343</v>
      </c>
      <c r="B307" s="4" t="s">
        <v>350</v>
      </c>
      <c r="C307" s="4" t="s">
        <v>15</v>
      </c>
      <c r="D307" s="4" t="s">
        <v>12</v>
      </c>
      <c r="E307" s="4" t="s">
        <v>16</v>
      </c>
      <c r="F307" s="5">
        <v>17640</v>
      </c>
      <c r="G307" s="5">
        <v>16444</v>
      </c>
      <c r="H307" s="6">
        <v>2.5</v>
      </c>
      <c r="I307" s="5">
        <v>4</v>
      </c>
      <c r="J307" s="5">
        <v>165</v>
      </c>
      <c r="K307" s="5">
        <v>23</v>
      </c>
      <c r="L307" s="5">
        <v>28</v>
      </c>
      <c r="M307" s="5">
        <v>2761</v>
      </c>
      <c r="N307" s="5">
        <v>100</v>
      </c>
      <c r="O307" s="7">
        <v>178</v>
      </c>
      <c r="P307" t="s">
        <v>520</v>
      </c>
    </row>
    <row r="308" spans="1:16" x14ac:dyDescent="0.2">
      <c r="A308" s="4" t="s">
        <v>343</v>
      </c>
      <c r="B308" s="4" t="s">
        <v>351</v>
      </c>
      <c r="C308" s="4" t="s">
        <v>15</v>
      </c>
      <c r="D308" s="4" t="s">
        <v>12</v>
      </c>
      <c r="E308" s="4" t="s">
        <v>16</v>
      </c>
      <c r="F308" s="5">
        <v>23290</v>
      </c>
      <c r="G308" s="5">
        <v>21580</v>
      </c>
      <c r="H308" s="6">
        <v>3.5</v>
      </c>
      <c r="I308" s="5">
        <v>6</v>
      </c>
      <c r="J308" s="5">
        <v>245</v>
      </c>
      <c r="K308" s="5">
        <v>21</v>
      </c>
      <c r="L308" s="5">
        <v>26</v>
      </c>
      <c r="M308" s="5">
        <v>3197</v>
      </c>
      <c r="N308" s="5">
        <v>110</v>
      </c>
      <c r="O308" s="7">
        <v>192</v>
      </c>
      <c r="P308" t="s">
        <v>519</v>
      </c>
    </row>
    <row r="309" spans="1:16" x14ac:dyDescent="0.2">
      <c r="A309" s="4" t="s">
        <v>343</v>
      </c>
      <c r="B309" s="4" t="s">
        <v>352</v>
      </c>
      <c r="C309" s="4" t="s">
        <v>15</v>
      </c>
      <c r="D309" s="4" t="s">
        <v>12</v>
      </c>
      <c r="E309" s="4" t="s">
        <v>16</v>
      </c>
      <c r="F309" s="5">
        <v>27490</v>
      </c>
      <c r="G309" s="5">
        <v>25182</v>
      </c>
      <c r="H309" s="6">
        <v>3.5</v>
      </c>
      <c r="I309" s="5">
        <v>6</v>
      </c>
      <c r="J309" s="5">
        <v>265</v>
      </c>
      <c r="K309" s="5">
        <v>20</v>
      </c>
      <c r="L309" s="5">
        <v>28</v>
      </c>
      <c r="M309" s="5">
        <v>3473</v>
      </c>
      <c r="N309" s="5">
        <v>111</v>
      </c>
      <c r="O309" s="7">
        <v>194</v>
      </c>
      <c r="P309" t="s">
        <v>518</v>
      </c>
    </row>
    <row r="310" spans="1:16" x14ac:dyDescent="0.2">
      <c r="A310" s="4" t="s">
        <v>343</v>
      </c>
      <c r="B310" s="4" t="s">
        <v>353</v>
      </c>
      <c r="C310" s="4" t="s">
        <v>15</v>
      </c>
      <c r="D310" s="4" t="s">
        <v>12</v>
      </c>
      <c r="E310" s="4" t="s">
        <v>16</v>
      </c>
      <c r="F310" s="5">
        <v>29440</v>
      </c>
      <c r="G310" s="5">
        <v>26966</v>
      </c>
      <c r="H310" s="6">
        <v>3.5</v>
      </c>
      <c r="I310" s="5">
        <v>6</v>
      </c>
      <c r="J310" s="5">
        <v>265</v>
      </c>
      <c r="K310" s="5">
        <v>20</v>
      </c>
      <c r="L310" s="5">
        <v>28</v>
      </c>
      <c r="M310" s="5">
        <v>3476</v>
      </c>
      <c r="N310" s="5">
        <v>111</v>
      </c>
      <c r="O310" s="7">
        <v>194</v>
      </c>
      <c r="P310" t="s">
        <v>517</v>
      </c>
    </row>
    <row r="311" spans="1:16" x14ac:dyDescent="0.2">
      <c r="A311" s="4" t="s">
        <v>343</v>
      </c>
      <c r="B311" s="4" t="s">
        <v>354</v>
      </c>
      <c r="C311" s="4" t="s">
        <v>15</v>
      </c>
      <c r="D311" s="4" t="s">
        <v>12</v>
      </c>
      <c r="E311" s="4" t="s">
        <v>16</v>
      </c>
      <c r="F311" s="5">
        <v>24780</v>
      </c>
      <c r="G311" s="5">
        <v>22958</v>
      </c>
      <c r="H311" s="6">
        <v>3.5</v>
      </c>
      <c r="I311" s="5">
        <v>6</v>
      </c>
      <c r="J311" s="5">
        <v>240</v>
      </c>
      <c r="K311" s="5">
        <v>19</v>
      </c>
      <c r="L311" s="5">
        <v>26</v>
      </c>
      <c r="M311" s="5">
        <v>4012</v>
      </c>
      <c r="N311" s="5">
        <v>124</v>
      </c>
      <c r="O311" s="7">
        <v>204</v>
      </c>
      <c r="P311" t="s">
        <v>518</v>
      </c>
    </row>
    <row r="312" spans="1:16" x14ac:dyDescent="0.2">
      <c r="A312" s="4" t="s">
        <v>343</v>
      </c>
      <c r="B312" s="4" t="s">
        <v>355</v>
      </c>
      <c r="C312" s="4" t="s">
        <v>15</v>
      </c>
      <c r="D312" s="4" t="s">
        <v>12</v>
      </c>
      <c r="E312" s="4" t="s">
        <v>16</v>
      </c>
      <c r="F312" s="5">
        <v>32780</v>
      </c>
      <c r="G312" s="5">
        <v>30019</v>
      </c>
      <c r="H312" s="6">
        <v>3.5</v>
      </c>
      <c r="I312" s="5">
        <v>6</v>
      </c>
      <c r="J312" s="5">
        <v>240</v>
      </c>
      <c r="K312" s="5">
        <v>18</v>
      </c>
      <c r="L312" s="5">
        <v>25</v>
      </c>
      <c r="M312" s="5">
        <v>4175</v>
      </c>
      <c r="N312" s="5">
        <v>124</v>
      </c>
      <c r="O312" s="7">
        <v>204</v>
      </c>
      <c r="P312" t="s">
        <v>519</v>
      </c>
    </row>
    <row r="313" spans="1:16" x14ac:dyDescent="0.2">
      <c r="A313" s="4" t="s">
        <v>343</v>
      </c>
      <c r="B313" s="4" t="s">
        <v>356</v>
      </c>
      <c r="C313" s="4" t="s">
        <v>22</v>
      </c>
      <c r="D313" s="4" t="s">
        <v>12</v>
      </c>
      <c r="E313" s="4" t="s">
        <v>23</v>
      </c>
      <c r="F313" s="5">
        <v>26910</v>
      </c>
      <c r="G313" s="5">
        <v>25203</v>
      </c>
      <c r="H313" s="6">
        <v>3.5</v>
      </c>
      <c r="I313" s="5">
        <v>6</v>
      </c>
      <c r="J313" s="5">
        <v>287</v>
      </c>
      <c r="K313" s="5">
        <v>20</v>
      </c>
      <c r="L313" s="5">
        <v>26</v>
      </c>
      <c r="M313" s="5">
        <v>3188</v>
      </c>
      <c r="N313" s="5">
        <v>104</v>
      </c>
      <c r="O313" s="7">
        <v>169</v>
      </c>
      <c r="P313" t="s">
        <v>520</v>
      </c>
    </row>
    <row r="314" spans="1:16" x14ac:dyDescent="0.2">
      <c r="A314" s="4" t="s">
        <v>343</v>
      </c>
      <c r="B314" s="4" t="s">
        <v>357</v>
      </c>
      <c r="C314" s="4" t="s">
        <v>22</v>
      </c>
      <c r="D314" s="4" t="s">
        <v>12</v>
      </c>
      <c r="E314" s="4" t="s">
        <v>23</v>
      </c>
      <c r="F314" s="5">
        <v>34390</v>
      </c>
      <c r="G314" s="5">
        <v>31845</v>
      </c>
      <c r="H314" s="6">
        <v>3.5</v>
      </c>
      <c r="I314" s="5">
        <v>6</v>
      </c>
      <c r="J314" s="5">
        <v>287</v>
      </c>
      <c r="K314" s="5">
        <v>20</v>
      </c>
      <c r="L314" s="5">
        <v>26</v>
      </c>
      <c r="M314" s="5">
        <v>3428</v>
      </c>
      <c r="N314" s="5">
        <v>104</v>
      </c>
      <c r="O314" s="7">
        <v>169</v>
      </c>
      <c r="P314" t="s">
        <v>520</v>
      </c>
    </row>
    <row r="315" spans="1:16" x14ac:dyDescent="0.2">
      <c r="A315" s="4" t="s">
        <v>343</v>
      </c>
      <c r="B315" s="4" t="s">
        <v>358</v>
      </c>
      <c r="C315" s="4" t="s">
        <v>87</v>
      </c>
      <c r="D315" s="4" t="s">
        <v>12</v>
      </c>
      <c r="E315" s="4" t="s">
        <v>13</v>
      </c>
      <c r="F315" s="5">
        <v>19479</v>
      </c>
      <c r="G315" s="5">
        <v>18253</v>
      </c>
      <c r="H315" s="6">
        <v>3.3</v>
      </c>
      <c r="I315" s="5">
        <v>6</v>
      </c>
      <c r="J315" s="5">
        <v>180</v>
      </c>
      <c r="K315" s="5">
        <v>17</v>
      </c>
      <c r="L315" s="5">
        <v>20</v>
      </c>
      <c r="M315" s="5">
        <v>3932</v>
      </c>
      <c r="N315" s="5">
        <v>116</v>
      </c>
      <c r="O315" s="7">
        <v>191</v>
      </c>
      <c r="P315" t="s">
        <v>519</v>
      </c>
    </row>
    <row r="316" spans="1:16" x14ac:dyDescent="0.2">
      <c r="A316" s="4" t="s">
        <v>343</v>
      </c>
      <c r="B316" s="4" t="s">
        <v>359</v>
      </c>
      <c r="C316" s="4" t="s">
        <v>87</v>
      </c>
      <c r="D316" s="4" t="s">
        <v>12</v>
      </c>
      <c r="E316" s="4" t="s">
        <v>13</v>
      </c>
      <c r="F316" s="5">
        <v>26650</v>
      </c>
      <c r="G316" s="5">
        <v>24926</v>
      </c>
      <c r="H316" s="6">
        <v>5.6</v>
      </c>
      <c r="I316" s="5">
        <v>8</v>
      </c>
      <c r="J316" s="5">
        <v>305</v>
      </c>
      <c r="K316" s="5">
        <v>14</v>
      </c>
      <c r="L316" s="5">
        <v>18</v>
      </c>
      <c r="M316" s="5">
        <v>5287</v>
      </c>
      <c r="N316" s="5">
        <v>140</v>
      </c>
      <c r="O316" s="7">
        <v>224</v>
      </c>
      <c r="P316" t="s">
        <v>520</v>
      </c>
    </row>
    <row r="317" spans="1:16" x14ac:dyDescent="0.2">
      <c r="A317" s="4" t="s">
        <v>343</v>
      </c>
      <c r="B317" s="4" t="s">
        <v>360</v>
      </c>
      <c r="C317" s="4" t="s">
        <v>44</v>
      </c>
      <c r="D317" s="4" t="s">
        <v>12</v>
      </c>
      <c r="E317" s="4" t="s">
        <v>23</v>
      </c>
      <c r="F317" s="5">
        <v>28739</v>
      </c>
      <c r="G317" s="5">
        <v>27300</v>
      </c>
      <c r="H317" s="6">
        <v>3.5</v>
      </c>
      <c r="I317" s="5">
        <v>6</v>
      </c>
      <c r="J317" s="5">
        <v>245</v>
      </c>
      <c r="K317" s="5">
        <v>20</v>
      </c>
      <c r="L317" s="5">
        <v>25</v>
      </c>
      <c r="M317" s="5">
        <v>3801</v>
      </c>
      <c r="N317" s="5">
        <v>111</v>
      </c>
      <c r="O317" s="7">
        <v>188</v>
      </c>
      <c r="P317" t="s">
        <v>519</v>
      </c>
    </row>
    <row r="318" spans="1:16" x14ac:dyDescent="0.2">
      <c r="A318" s="4" t="s">
        <v>361</v>
      </c>
      <c r="B318" s="4" t="s">
        <v>362</v>
      </c>
      <c r="C318" s="4" t="s">
        <v>15</v>
      </c>
      <c r="D318" s="4" t="s">
        <v>69</v>
      </c>
      <c r="E318" s="4" t="s">
        <v>16</v>
      </c>
      <c r="F318" s="5">
        <v>18825</v>
      </c>
      <c r="G318" s="5">
        <v>17642</v>
      </c>
      <c r="H318" s="6">
        <v>2.2000000000000002</v>
      </c>
      <c r="I318" s="5">
        <v>4</v>
      </c>
      <c r="J318" s="5">
        <v>140</v>
      </c>
      <c r="K318" s="5">
        <v>24</v>
      </c>
      <c r="L318" s="5">
        <v>32</v>
      </c>
      <c r="M318" s="5">
        <v>2946</v>
      </c>
      <c r="N318" s="5">
        <v>107</v>
      </c>
      <c r="O318" s="7">
        <v>187</v>
      </c>
    </row>
    <row r="319" spans="1:16" x14ac:dyDescent="0.2">
      <c r="A319" s="4" t="s">
        <v>361</v>
      </c>
      <c r="B319" s="4" t="s">
        <v>363</v>
      </c>
      <c r="C319" s="4" t="s">
        <v>15</v>
      </c>
      <c r="D319" s="4" t="s">
        <v>69</v>
      </c>
      <c r="E319" s="4" t="s">
        <v>16</v>
      </c>
      <c r="F319" s="5">
        <v>23675</v>
      </c>
      <c r="G319" s="5">
        <v>21485</v>
      </c>
      <c r="H319" s="6">
        <v>3.4</v>
      </c>
      <c r="I319" s="5">
        <v>6</v>
      </c>
      <c r="J319" s="5">
        <v>170</v>
      </c>
      <c r="K319" s="5">
        <v>20</v>
      </c>
      <c r="L319" s="5">
        <v>29</v>
      </c>
      <c r="M319" s="5">
        <v>3085</v>
      </c>
      <c r="N319" s="5">
        <v>107</v>
      </c>
      <c r="O319" s="7">
        <v>187</v>
      </c>
    </row>
    <row r="320" spans="1:16" x14ac:dyDescent="0.2">
      <c r="A320" s="4" t="s">
        <v>361</v>
      </c>
      <c r="B320" s="4" t="s">
        <v>364</v>
      </c>
      <c r="C320" s="4" t="s">
        <v>15</v>
      </c>
      <c r="D320" s="4" t="s">
        <v>69</v>
      </c>
      <c r="E320" s="4" t="s">
        <v>16</v>
      </c>
      <c r="F320" s="5">
        <v>28790</v>
      </c>
      <c r="G320" s="5">
        <v>26120</v>
      </c>
      <c r="H320" s="6">
        <v>3.4</v>
      </c>
      <c r="I320" s="5">
        <v>6</v>
      </c>
      <c r="J320" s="5">
        <v>185</v>
      </c>
      <c r="K320" s="5">
        <v>19</v>
      </c>
      <c r="L320" s="5">
        <v>26</v>
      </c>
      <c r="M320" s="5">
        <v>3948</v>
      </c>
      <c r="N320" s="5">
        <v>120</v>
      </c>
      <c r="O320" s="7">
        <v>201</v>
      </c>
      <c r="P320" t="s">
        <v>519</v>
      </c>
    </row>
    <row r="321" spans="1:16" x14ac:dyDescent="0.2">
      <c r="A321" s="4" t="s">
        <v>365</v>
      </c>
      <c r="B321" s="4" t="s">
        <v>366</v>
      </c>
      <c r="C321" s="4" t="s">
        <v>11</v>
      </c>
      <c r="D321" s="4" t="s">
        <v>69</v>
      </c>
      <c r="E321" s="4" t="s">
        <v>16</v>
      </c>
      <c r="F321" s="5">
        <v>21595</v>
      </c>
      <c r="G321" s="5">
        <v>19810</v>
      </c>
      <c r="H321" s="6">
        <v>3.4</v>
      </c>
      <c r="I321" s="5">
        <v>6</v>
      </c>
      <c r="J321" s="5">
        <v>185</v>
      </c>
      <c r="K321" s="5">
        <v>19</v>
      </c>
      <c r="L321" s="5">
        <v>26</v>
      </c>
      <c r="M321" s="5">
        <v>3779</v>
      </c>
      <c r="N321" s="5">
        <v>108</v>
      </c>
      <c r="O321" s="7">
        <v>182</v>
      </c>
      <c r="P321" t="s">
        <v>518</v>
      </c>
    </row>
    <row r="322" spans="1:16" x14ac:dyDescent="0.2">
      <c r="A322" s="4" t="s">
        <v>365</v>
      </c>
      <c r="B322" s="4" t="s">
        <v>367</v>
      </c>
      <c r="C322" s="4" t="s">
        <v>15</v>
      </c>
      <c r="D322" s="4" t="s">
        <v>69</v>
      </c>
      <c r="E322" s="4" t="s">
        <v>16</v>
      </c>
      <c r="F322" s="5">
        <v>15495</v>
      </c>
      <c r="G322" s="5">
        <v>14375</v>
      </c>
      <c r="H322" s="6">
        <v>2.2000000000000002</v>
      </c>
      <c r="I322" s="5">
        <v>4</v>
      </c>
      <c r="J322" s="5">
        <v>140</v>
      </c>
      <c r="K322" s="5">
        <v>24</v>
      </c>
      <c r="L322" s="5">
        <v>33</v>
      </c>
      <c r="M322" s="5">
        <v>2771</v>
      </c>
      <c r="N322" s="5">
        <v>104</v>
      </c>
      <c r="O322" s="7">
        <v>182</v>
      </c>
      <c r="P322" t="s">
        <v>517</v>
      </c>
    </row>
    <row r="323" spans="1:16" x14ac:dyDescent="0.2">
      <c r="A323" s="4" t="s">
        <v>365</v>
      </c>
      <c r="B323" s="4" t="s">
        <v>368</v>
      </c>
      <c r="C323" s="4" t="s">
        <v>15</v>
      </c>
      <c r="D323" s="4" t="s">
        <v>69</v>
      </c>
      <c r="E323" s="4" t="s">
        <v>16</v>
      </c>
      <c r="F323" s="5">
        <v>22450</v>
      </c>
      <c r="G323" s="5">
        <v>20595</v>
      </c>
      <c r="H323" s="6">
        <v>3.4</v>
      </c>
      <c r="I323" s="5">
        <v>6</v>
      </c>
      <c r="J323" s="5">
        <v>175</v>
      </c>
      <c r="K323" s="5">
        <v>20</v>
      </c>
      <c r="L323" s="5">
        <v>29</v>
      </c>
      <c r="M323" s="5">
        <v>3118</v>
      </c>
      <c r="N323" s="5">
        <v>107</v>
      </c>
      <c r="O323" s="7">
        <v>186</v>
      </c>
      <c r="P323" t="s">
        <v>518</v>
      </c>
    </row>
    <row r="324" spans="1:16" x14ac:dyDescent="0.2">
      <c r="A324" s="4" t="s">
        <v>365</v>
      </c>
      <c r="B324" s="4" t="s">
        <v>369</v>
      </c>
      <c r="C324" s="4" t="s">
        <v>15</v>
      </c>
      <c r="D324" s="4" t="s">
        <v>69</v>
      </c>
      <c r="E324" s="4" t="s">
        <v>16</v>
      </c>
      <c r="F324" s="5">
        <v>22395</v>
      </c>
      <c r="G324" s="5">
        <v>20545</v>
      </c>
      <c r="H324" s="6">
        <v>3.8</v>
      </c>
      <c r="I324" s="5">
        <v>6</v>
      </c>
      <c r="J324" s="5">
        <v>200</v>
      </c>
      <c r="K324" s="5">
        <v>20</v>
      </c>
      <c r="L324" s="5">
        <v>30</v>
      </c>
      <c r="M324" s="5">
        <v>3477</v>
      </c>
      <c r="N324" s="5">
        <v>111</v>
      </c>
      <c r="O324" s="7">
        <v>198</v>
      </c>
      <c r="P324" t="s">
        <v>517</v>
      </c>
    </row>
    <row r="325" spans="1:16" x14ac:dyDescent="0.2">
      <c r="A325" s="4" t="s">
        <v>365</v>
      </c>
      <c r="B325" s="4" t="s">
        <v>370</v>
      </c>
      <c r="C325" s="4" t="s">
        <v>15</v>
      </c>
      <c r="D325" s="4" t="s">
        <v>69</v>
      </c>
      <c r="E325" s="4" t="s">
        <v>16</v>
      </c>
      <c r="F325" s="5">
        <v>17735</v>
      </c>
      <c r="G325" s="5">
        <v>16369</v>
      </c>
      <c r="H325" s="6">
        <v>2.2000000000000002</v>
      </c>
      <c r="I325" s="5">
        <v>4</v>
      </c>
      <c r="J325" s="5">
        <v>140</v>
      </c>
      <c r="K325" s="5">
        <v>24</v>
      </c>
      <c r="L325" s="5">
        <v>33</v>
      </c>
      <c r="M325" s="5">
        <v>2771</v>
      </c>
      <c r="N325" s="5">
        <v>104</v>
      </c>
      <c r="O325" s="7">
        <v>182</v>
      </c>
      <c r="P325" t="s">
        <v>518</v>
      </c>
    </row>
    <row r="326" spans="1:16" x14ac:dyDescent="0.2">
      <c r="A326" s="4" t="s">
        <v>365</v>
      </c>
      <c r="B326" s="4" t="s">
        <v>371</v>
      </c>
      <c r="C326" s="4" t="s">
        <v>15</v>
      </c>
      <c r="D326" s="4" t="s">
        <v>69</v>
      </c>
      <c r="E326" s="4" t="s">
        <v>16</v>
      </c>
      <c r="F326" s="5">
        <v>24295</v>
      </c>
      <c r="G326" s="5">
        <v>22284</v>
      </c>
      <c r="H326" s="6">
        <v>3.8</v>
      </c>
      <c r="I326" s="5">
        <v>6</v>
      </c>
      <c r="J326" s="5">
        <v>200</v>
      </c>
      <c r="K326" s="5">
        <v>20</v>
      </c>
      <c r="L326" s="5">
        <v>30</v>
      </c>
      <c r="M326" s="5">
        <v>3484</v>
      </c>
      <c r="N326" s="5">
        <v>111</v>
      </c>
      <c r="O326" s="7">
        <v>198</v>
      </c>
      <c r="P326" t="s">
        <v>519</v>
      </c>
    </row>
    <row r="327" spans="1:16" x14ac:dyDescent="0.2">
      <c r="A327" s="4" t="s">
        <v>365</v>
      </c>
      <c r="B327" s="4" t="s">
        <v>372</v>
      </c>
      <c r="C327" s="4" t="s">
        <v>15</v>
      </c>
      <c r="D327" s="4" t="s">
        <v>69</v>
      </c>
      <c r="E327" s="4" t="s">
        <v>16</v>
      </c>
      <c r="F327" s="5">
        <v>35995</v>
      </c>
      <c r="G327" s="5">
        <v>32997</v>
      </c>
      <c r="H327" s="6">
        <v>4.5999999999999996</v>
      </c>
      <c r="I327" s="5">
        <v>8</v>
      </c>
      <c r="J327" s="5">
        <v>275</v>
      </c>
      <c r="K327" s="5">
        <v>17</v>
      </c>
      <c r="L327" s="5">
        <v>20</v>
      </c>
      <c r="M327" s="5">
        <v>3790</v>
      </c>
      <c r="N327" s="5">
        <v>112</v>
      </c>
      <c r="O327" s="7">
        <v>203</v>
      </c>
      <c r="P327" t="s">
        <v>520</v>
      </c>
    </row>
    <row r="328" spans="1:16" x14ac:dyDescent="0.2">
      <c r="A328" s="4" t="s">
        <v>365</v>
      </c>
      <c r="B328" s="4" t="s">
        <v>373</v>
      </c>
      <c r="C328" s="4" t="s">
        <v>15</v>
      </c>
      <c r="D328" s="4" t="s">
        <v>69</v>
      </c>
      <c r="E328" s="4" t="s">
        <v>16</v>
      </c>
      <c r="F328" s="5">
        <v>23845</v>
      </c>
      <c r="G328" s="5">
        <v>21644</v>
      </c>
      <c r="H328" s="6">
        <v>3.4</v>
      </c>
      <c r="I328" s="5">
        <v>6</v>
      </c>
      <c r="J328" s="5">
        <v>185</v>
      </c>
      <c r="K328" s="5">
        <v>19</v>
      </c>
      <c r="L328" s="5">
        <v>26</v>
      </c>
      <c r="M328" s="5">
        <v>3803</v>
      </c>
      <c r="N328" s="5">
        <v>112</v>
      </c>
      <c r="O328" s="7">
        <v>187</v>
      </c>
      <c r="P328" t="s">
        <v>519</v>
      </c>
    </row>
    <row r="329" spans="1:16" x14ac:dyDescent="0.2">
      <c r="A329" s="4" t="s">
        <v>365</v>
      </c>
      <c r="B329" s="4" t="s">
        <v>374</v>
      </c>
      <c r="C329" s="4" t="s">
        <v>15</v>
      </c>
      <c r="D329" s="4" t="s">
        <v>69</v>
      </c>
      <c r="E329" s="4" t="s">
        <v>13</v>
      </c>
      <c r="F329" s="5">
        <v>31370</v>
      </c>
      <c r="G329" s="5">
        <v>28454</v>
      </c>
      <c r="H329" s="6">
        <v>3.4</v>
      </c>
      <c r="I329" s="5">
        <v>6</v>
      </c>
      <c r="J329" s="5">
        <v>185</v>
      </c>
      <c r="K329" s="5">
        <v>18</v>
      </c>
      <c r="L329" s="5">
        <v>24</v>
      </c>
      <c r="M329" s="5">
        <v>4431</v>
      </c>
      <c r="N329" s="5">
        <v>121</v>
      </c>
      <c r="O329" s="7">
        <v>201</v>
      </c>
      <c r="P329" t="s">
        <v>518</v>
      </c>
    </row>
    <row r="330" spans="1:16" x14ac:dyDescent="0.2">
      <c r="A330" s="4" t="s">
        <v>365</v>
      </c>
      <c r="B330" s="4" t="s">
        <v>375</v>
      </c>
      <c r="C330" s="4" t="s">
        <v>22</v>
      </c>
      <c r="D330" s="4" t="s">
        <v>69</v>
      </c>
      <c r="E330" s="4" t="s">
        <v>23</v>
      </c>
      <c r="F330" s="5">
        <v>33500</v>
      </c>
      <c r="G330" s="5">
        <v>30710</v>
      </c>
      <c r="H330" s="6">
        <v>5.7</v>
      </c>
      <c r="I330" s="5">
        <v>8</v>
      </c>
      <c r="J330" s="5">
        <v>340</v>
      </c>
      <c r="K330" s="5">
        <v>16</v>
      </c>
      <c r="L330" s="5">
        <v>20</v>
      </c>
      <c r="M330" s="5">
        <v>3725</v>
      </c>
      <c r="N330" s="5">
        <v>110</v>
      </c>
      <c r="O330" s="7">
        <v>190</v>
      </c>
      <c r="P330" t="s">
        <v>517</v>
      </c>
    </row>
    <row r="331" spans="1:16" x14ac:dyDescent="0.2">
      <c r="A331" s="4" t="s">
        <v>365</v>
      </c>
      <c r="B331" s="4" t="s">
        <v>376</v>
      </c>
      <c r="C331" s="4" t="s">
        <v>44</v>
      </c>
      <c r="D331" s="4" t="s">
        <v>69</v>
      </c>
      <c r="E331" s="4" t="s">
        <v>23</v>
      </c>
      <c r="F331" s="5">
        <v>17045</v>
      </c>
      <c r="G331" s="5">
        <v>15973</v>
      </c>
      <c r="H331" s="6">
        <v>1.8</v>
      </c>
      <c r="I331" s="5">
        <v>4</v>
      </c>
      <c r="J331" s="5">
        <v>130</v>
      </c>
      <c r="K331" s="5">
        <v>29</v>
      </c>
      <c r="L331" s="5">
        <v>36</v>
      </c>
      <c r="M331" s="5">
        <v>2701</v>
      </c>
      <c r="N331" s="5">
        <v>102</v>
      </c>
      <c r="O331" s="7">
        <v>172</v>
      </c>
    </row>
    <row r="332" spans="1:16" x14ac:dyDescent="0.2">
      <c r="A332" s="4" t="s">
        <v>377</v>
      </c>
      <c r="B332" s="4" t="s">
        <v>378</v>
      </c>
      <c r="C332" s="4" t="s">
        <v>11</v>
      </c>
      <c r="D332" s="4" t="s">
        <v>26</v>
      </c>
      <c r="E332" s="4" t="s">
        <v>13</v>
      </c>
      <c r="F332" s="5">
        <v>56665</v>
      </c>
      <c r="G332" s="5">
        <v>49865</v>
      </c>
      <c r="H332" s="6">
        <v>4.5</v>
      </c>
      <c r="I332" s="5">
        <v>8</v>
      </c>
      <c r="J332" s="5">
        <v>340</v>
      </c>
      <c r="K332" s="5">
        <v>14</v>
      </c>
      <c r="L332" s="5">
        <v>18</v>
      </c>
      <c r="M332" s="5">
        <v>4950</v>
      </c>
      <c r="N332" s="5">
        <v>112</v>
      </c>
      <c r="O332" s="7">
        <v>188</v>
      </c>
    </row>
    <row r="333" spans="1:16" x14ac:dyDescent="0.2">
      <c r="A333" s="4" t="s">
        <v>377</v>
      </c>
      <c r="B333" s="4" t="s">
        <v>379</v>
      </c>
      <c r="C333" s="4" t="s">
        <v>22</v>
      </c>
      <c r="D333" s="4" t="s">
        <v>26</v>
      </c>
      <c r="E333" s="4" t="s">
        <v>23</v>
      </c>
      <c r="F333" s="5">
        <v>79165</v>
      </c>
      <c r="G333" s="5">
        <v>69229</v>
      </c>
      <c r="H333" s="6">
        <v>3.6</v>
      </c>
      <c r="I333" s="5">
        <v>6</v>
      </c>
      <c r="J333" s="5">
        <v>315</v>
      </c>
      <c r="K333" s="5">
        <v>18</v>
      </c>
      <c r="L333" s="5">
        <v>26</v>
      </c>
      <c r="M333" s="5">
        <v>3135</v>
      </c>
      <c r="N333" s="5">
        <v>93</v>
      </c>
      <c r="O333" s="7">
        <v>175</v>
      </c>
    </row>
    <row r="334" spans="1:16" x14ac:dyDescent="0.2">
      <c r="A334" s="4" t="s">
        <v>377</v>
      </c>
      <c r="B334" s="4" t="s">
        <v>380</v>
      </c>
      <c r="C334" s="4" t="s">
        <v>22</v>
      </c>
      <c r="D334" s="4" t="s">
        <v>26</v>
      </c>
      <c r="E334" s="4" t="s">
        <v>13</v>
      </c>
      <c r="F334" s="5">
        <v>84165</v>
      </c>
      <c r="G334" s="5">
        <v>72206</v>
      </c>
      <c r="H334" s="6">
        <v>3.6</v>
      </c>
      <c r="I334" s="5">
        <v>6</v>
      </c>
      <c r="J334" s="5">
        <v>315</v>
      </c>
      <c r="K334" s="5">
        <v>17</v>
      </c>
      <c r="L334" s="5">
        <v>24</v>
      </c>
      <c r="M334" s="5">
        <v>3240</v>
      </c>
      <c r="N334" s="5">
        <v>93</v>
      </c>
      <c r="O334" s="7">
        <v>175</v>
      </c>
      <c r="P334" t="s">
        <v>517</v>
      </c>
    </row>
    <row r="335" spans="1:16" x14ac:dyDescent="0.2">
      <c r="A335" s="4" t="s">
        <v>377</v>
      </c>
      <c r="B335" s="4" t="s">
        <v>381</v>
      </c>
      <c r="C335" s="4" t="s">
        <v>22</v>
      </c>
      <c r="D335" s="4" t="s">
        <v>26</v>
      </c>
      <c r="E335" s="4" t="s">
        <v>23</v>
      </c>
      <c r="F335" s="5">
        <v>76765</v>
      </c>
      <c r="G335" s="5">
        <v>67128</v>
      </c>
      <c r="H335" s="6">
        <v>3.6</v>
      </c>
      <c r="I335" s="5">
        <v>6</v>
      </c>
      <c r="J335" s="5">
        <v>315</v>
      </c>
      <c r="K335" s="5">
        <v>18</v>
      </c>
      <c r="L335" s="5">
        <v>26</v>
      </c>
      <c r="M335" s="5">
        <v>3119</v>
      </c>
      <c r="N335" s="5">
        <v>93</v>
      </c>
      <c r="O335" s="7">
        <v>175</v>
      </c>
      <c r="P335" t="s">
        <v>518</v>
      </c>
    </row>
    <row r="336" spans="1:16" x14ac:dyDescent="0.2">
      <c r="A336" s="4" t="s">
        <v>377</v>
      </c>
      <c r="B336" s="4" t="s">
        <v>382</v>
      </c>
      <c r="C336" s="4" t="s">
        <v>22</v>
      </c>
      <c r="D336" s="4" t="s">
        <v>26</v>
      </c>
      <c r="E336" s="4" t="s">
        <v>23</v>
      </c>
      <c r="F336" s="5">
        <v>192465</v>
      </c>
      <c r="G336" s="5">
        <v>173560</v>
      </c>
      <c r="H336" s="6">
        <v>3.6</v>
      </c>
      <c r="I336" s="5">
        <v>6</v>
      </c>
      <c r="J336" s="5">
        <v>477</v>
      </c>
      <c r="K336" s="5">
        <v>17</v>
      </c>
      <c r="L336" s="5">
        <v>24</v>
      </c>
      <c r="M336" s="5">
        <v>3131</v>
      </c>
      <c r="N336" s="5">
        <v>93</v>
      </c>
      <c r="O336" s="7">
        <v>175</v>
      </c>
      <c r="P336" t="s">
        <v>519</v>
      </c>
    </row>
    <row r="337" spans="1:16" x14ac:dyDescent="0.2">
      <c r="A337" s="4" t="s">
        <v>377</v>
      </c>
      <c r="B337" s="4" t="s">
        <v>383</v>
      </c>
      <c r="C337" s="4" t="s">
        <v>22</v>
      </c>
      <c r="D337" s="4" t="s">
        <v>26</v>
      </c>
      <c r="E337" s="4" t="s">
        <v>23</v>
      </c>
      <c r="F337" s="5">
        <v>43365</v>
      </c>
      <c r="G337" s="5">
        <v>37886</v>
      </c>
      <c r="H337" s="6">
        <v>2.7</v>
      </c>
      <c r="I337" s="5">
        <v>6</v>
      </c>
      <c r="J337" s="5">
        <v>228</v>
      </c>
      <c r="K337" s="5">
        <v>20</v>
      </c>
      <c r="L337" s="5">
        <v>29</v>
      </c>
      <c r="M337" s="5">
        <v>2811</v>
      </c>
      <c r="N337" s="5">
        <v>95</v>
      </c>
      <c r="O337" s="7">
        <v>170</v>
      </c>
      <c r="P337" t="s">
        <v>520</v>
      </c>
    </row>
    <row r="338" spans="1:16" x14ac:dyDescent="0.2">
      <c r="A338" s="4" t="s">
        <v>377</v>
      </c>
      <c r="B338" s="4" t="s">
        <v>384</v>
      </c>
      <c r="C338" s="4" t="s">
        <v>22</v>
      </c>
      <c r="D338" s="4" t="s">
        <v>26</v>
      </c>
      <c r="E338" s="4" t="s">
        <v>23</v>
      </c>
      <c r="F338" s="5">
        <v>52365</v>
      </c>
      <c r="G338" s="5">
        <v>45766</v>
      </c>
      <c r="H338" s="6">
        <v>3.2</v>
      </c>
      <c r="I338" s="5">
        <v>6</v>
      </c>
      <c r="J338" s="5">
        <v>258</v>
      </c>
      <c r="K338" s="5">
        <v>18</v>
      </c>
      <c r="L338" s="5">
        <v>26</v>
      </c>
      <c r="M338" s="5">
        <v>2911</v>
      </c>
      <c r="N338" s="5">
        <v>95</v>
      </c>
      <c r="O338" s="7">
        <v>170</v>
      </c>
      <c r="P338" t="s">
        <v>519</v>
      </c>
    </row>
    <row r="339" spans="1:16" x14ac:dyDescent="0.2">
      <c r="A339" s="4" t="s">
        <v>385</v>
      </c>
      <c r="B339" s="4" t="s">
        <v>386</v>
      </c>
      <c r="C339" s="4" t="s">
        <v>15</v>
      </c>
      <c r="D339" s="4" t="s">
        <v>26</v>
      </c>
      <c r="E339" s="4" t="s">
        <v>16</v>
      </c>
      <c r="F339" s="5">
        <v>30860</v>
      </c>
      <c r="G339" s="5">
        <v>29269</v>
      </c>
      <c r="H339" s="6">
        <v>2</v>
      </c>
      <c r="I339" s="5">
        <v>4</v>
      </c>
      <c r="J339" s="5">
        <v>210</v>
      </c>
      <c r="K339" s="5">
        <v>20</v>
      </c>
      <c r="L339" s="5">
        <v>28</v>
      </c>
      <c r="M339" s="5">
        <v>3175</v>
      </c>
      <c r="N339" s="5">
        <v>105</v>
      </c>
      <c r="O339" s="7">
        <v>183</v>
      </c>
      <c r="P339" t="s">
        <v>518</v>
      </c>
    </row>
    <row r="340" spans="1:16" x14ac:dyDescent="0.2">
      <c r="A340" s="4" t="s">
        <v>385</v>
      </c>
      <c r="B340" s="4" t="s">
        <v>387</v>
      </c>
      <c r="C340" s="4" t="s">
        <v>15</v>
      </c>
      <c r="D340" s="4" t="s">
        <v>26</v>
      </c>
      <c r="E340" s="4" t="s">
        <v>16</v>
      </c>
      <c r="F340" s="5">
        <v>33360</v>
      </c>
      <c r="G340" s="5">
        <v>31562</v>
      </c>
      <c r="H340" s="6">
        <v>2</v>
      </c>
      <c r="I340" s="5">
        <v>4</v>
      </c>
      <c r="J340" s="5">
        <v>210</v>
      </c>
      <c r="K340" s="5">
        <v>20</v>
      </c>
      <c r="L340" s="5">
        <v>28</v>
      </c>
      <c r="M340" s="5">
        <v>3175</v>
      </c>
      <c r="N340" s="5">
        <v>105</v>
      </c>
      <c r="O340" s="7">
        <v>183</v>
      </c>
      <c r="P340" t="s">
        <v>517</v>
      </c>
    </row>
    <row r="341" spans="1:16" x14ac:dyDescent="0.2">
      <c r="A341" s="4" t="s">
        <v>385</v>
      </c>
      <c r="B341" s="4" t="s">
        <v>388</v>
      </c>
      <c r="C341" s="4" t="s">
        <v>15</v>
      </c>
      <c r="D341" s="4" t="s">
        <v>26</v>
      </c>
      <c r="E341" s="4" t="s">
        <v>16</v>
      </c>
      <c r="F341" s="5">
        <v>35105</v>
      </c>
      <c r="G341" s="5">
        <v>33011</v>
      </c>
      <c r="H341" s="6">
        <v>2.2999999999999998</v>
      </c>
      <c r="I341" s="5">
        <v>4</v>
      </c>
      <c r="J341" s="5">
        <v>220</v>
      </c>
      <c r="K341" s="5">
        <v>21</v>
      </c>
      <c r="L341" s="5">
        <v>29</v>
      </c>
      <c r="M341" s="5">
        <v>3470</v>
      </c>
      <c r="N341" s="5">
        <v>106</v>
      </c>
      <c r="O341" s="7">
        <v>190</v>
      </c>
      <c r="P341" t="s">
        <v>518</v>
      </c>
    </row>
    <row r="342" spans="1:16" x14ac:dyDescent="0.2">
      <c r="A342" s="4" t="s">
        <v>385</v>
      </c>
      <c r="B342" s="4" t="s">
        <v>389</v>
      </c>
      <c r="C342" s="4" t="s">
        <v>15</v>
      </c>
      <c r="D342" s="4" t="s">
        <v>26</v>
      </c>
      <c r="E342" s="4" t="s">
        <v>16</v>
      </c>
      <c r="F342" s="5">
        <v>39465</v>
      </c>
      <c r="G342" s="5">
        <v>37721</v>
      </c>
      <c r="H342" s="6">
        <v>2.2999999999999998</v>
      </c>
      <c r="I342" s="5">
        <v>4</v>
      </c>
      <c r="J342" s="5">
        <v>250</v>
      </c>
      <c r="K342" s="5">
        <v>21</v>
      </c>
      <c r="L342" s="5">
        <v>29</v>
      </c>
      <c r="M342" s="5">
        <v>3470</v>
      </c>
      <c r="N342" s="5">
        <v>106</v>
      </c>
      <c r="O342" s="7">
        <v>190</v>
      </c>
      <c r="P342" t="s">
        <v>519</v>
      </c>
    </row>
    <row r="343" spans="1:16" x14ac:dyDescent="0.2">
      <c r="A343" s="4" t="s">
        <v>385</v>
      </c>
      <c r="B343" s="4" t="s">
        <v>390</v>
      </c>
      <c r="C343" s="4" t="s">
        <v>15</v>
      </c>
      <c r="D343" s="4" t="s">
        <v>26</v>
      </c>
      <c r="E343" s="4" t="s">
        <v>16</v>
      </c>
      <c r="F343" s="5">
        <v>40670</v>
      </c>
      <c r="G343" s="5">
        <v>38520</v>
      </c>
      <c r="H343" s="6">
        <v>2</v>
      </c>
      <c r="I343" s="5">
        <v>4</v>
      </c>
      <c r="J343" s="5">
        <v>210</v>
      </c>
      <c r="K343" s="5">
        <v>21</v>
      </c>
      <c r="L343" s="5">
        <v>29</v>
      </c>
      <c r="M343" s="5">
        <v>3480</v>
      </c>
      <c r="N343" s="5">
        <v>105</v>
      </c>
      <c r="O343" s="7">
        <v>182</v>
      </c>
      <c r="P343" t="s">
        <v>520</v>
      </c>
    </row>
    <row r="344" spans="1:16" x14ac:dyDescent="0.2">
      <c r="A344" s="4" t="s">
        <v>385</v>
      </c>
      <c r="B344" s="4" t="s">
        <v>391</v>
      </c>
      <c r="C344" s="4" t="s">
        <v>15</v>
      </c>
      <c r="D344" s="4" t="s">
        <v>26</v>
      </c>
      <c r="E344" s="4" t="s">
        <v>16</v>
      </c>
      <c r="F344" s="5">
        <v>43175</v>
      </c>
      <c r="G344" s="5">
        <v>40883</v>
      </c>
      <c r="H344" s="6">
        <v>2</v>
      </c>
      <c r="I344" s="5">
        <v>4</v>
      </c>
      <c r="J344" s="5">
        <v>210</v>
      </c>
      <c r="K344" s="5">
        <v>21</v>
      </c>
      <c r="L344" s="5">
        <v>30</v>
      </c>
      <c r="M344" s="5">
        <v>3700</v>
      </c>
      <c r="N344" s="5">
        <v>105</v>
      </c>
      <c r="O344" s="7">
        <v>182</v>
      </c>
      <c r="P344" t="s">
        <v>520</v>
      </c>
    </row>
    <row r="345" spans="1:16" x14ac:dyDescent="0.2">
      <c r="A345" s="4" t="s">
        <v>385</v>
      </c>
      <c r="B345" s="4" t="s">
        <v>392</v>
      </c>
      <c r="C345" s="4" t="s">
        <v>44</v>
      </c>
      <c r="D345" s="4" t="s">
        <v>26</v>
      </c>
      <c r="E345" s="4" t="s">
        <v>16</v>
      </c>
      <c r="F345" s="5">
        <v>40845</v>
      </c>
      <c r="G345" s="5">
        <v>38376</v>
      </c>
      <c r="H345" s="6">
        <v>2.2999999999999998</v>
      </c>
      <c r="I345" s="5">
        <v>4</v>
      </c>
      <c r="J345" s="5">
        <v>250</v>
      </c>
      <c r="K345" s="5">
        <v>19</v>
      </c>
      <c r="L345" s="5">
        <v>29</v>
      </c>
      <c r="M345" s="5">
        <v>3620</v>
      </c>
      <c r="N345" s="5">
        <v>106</v>
      </c>
      <c r="O345" s="7">
        <v>190</v>
      </c>
      <c r="P345" t="s">
        <v>519</v>
      </c>
    </row>
    <row r="346" spans="1:16" x14ac:dyDescent="0.2">
      <c r="A346" s="4" t="s">
        <v>393</v>
      </c>
      <c r="B346" s="4" t="s">
        <v>394</v>
      </c>
      <c r="C346" s="4" t="s">
        <v>11</v>
      </c>
      <c r="D346" s="4" t="s">
        <v>69</v>
      </c>
      <c r="E346" s="4" t="s">
        <v>13</v>
      </c>
      <c r="F346" s="5">
        <v>20585</v>
      </c>
      <c r="G346" s="5">
        <v>19238</v>
      </c>
      <c r="H346" s="6">
        <v>2.2000000000000002</v>
      </c>
      <c r="I346" s="5">
        <v>4</v>
      </c>
      <c r="J346" s="5">
        <v>143</v>
      </c>
      <c r="K346" s="5">
        <v>21</v>
      </c>
      <c r="L346" s="5">
        <v>26</v>
      </c>
      <c r="M346" s="5">
        <v>3381</v>
      </c>
      <c r="N346" s="5">
        <v>107</v>
      </c>
      <c r="O346" s="7">
        <v>181</v>
      </c>
      <c r="P346" t="s">
        <v>520</v>
      </c>
    </row>
    <row r="347" spans="1:16" x14ac:dyDescent="0.2">
      <c r="A347" s="4" t="s">
        <v>393</v>
      </c>
      <c r="B347" s="4" t="s">
        <v>395</v>
      </c>
      <c r="C347" s="4" t="s">
        <v>15</v>
      </c>
      <c r="D347" s="4" t="s">
        <v>69</v>
      </c>
      <c r="E347" s="4" t="s">
        <v>16</v>
      </c>
      <c r="F347" s="5">
        <v>10995</v>
      </c>
      <c r="G347" s="5">
        <v>10319</v>
      </c>
      <c r="H347" s="6">
        <v>2.2000000000000002</v>
      </c>
      <c r="I347" s="5">
        <v>4</v>
      </c>
      <c r="J347" s="5">
        <v>140</v>
      </c>
      <c r="K347" s="5">
        <v>26</v>
      </c>
      <c r="L347" s="5">
        <v>35</v>
      </c>
      <c r="M347" s="5">
        <v>2692</v>
      </c>
      <c r="N347" s="5">
        <v>103</v>
      </c>
      <c r="O347" s="7">
        <v>185</v>
      </c>
      <c r="P347" t="s">
        <v>519</v>
      </c>
    </row>
    <row r="348" spans="1:16" x14ac:dyDescent="0.2">
      <c r="A348" s="4" t="s">
        <v>393</v>
      </c>
      <c r="B348" s="4" t="s">
        <v>396</v>
      </c>
      <c r="C348" s="4" t="s">
        <v>15</v>
      </c>
      <c r="D348" s="4" t="s">
        <v>69</v>
      </c>
      <c r="E348" s="4" t="s">
        <v>16</v>
      </c>
      <c r="F348" s="5">
        <v>14300</v>
      </c>
      <c r="G348" s="5">
        <v>13393</v>
      </c>
      <c r="H348" s="6">
        <v>2.2000000000000002</v>
      </c>
      <c r="I348" s="5">
        <v>4</v>
      </c>
      <c r="J348" s="5">
        <v>140</v>
      </c>
      <c r="K348" s="5">
        <v>26</v>
      </c>
      <c r="L348" s="5">
        <v>35</v>
      </c>
      <c r="M348" s="5">
        <v>2692</v>
      </c>
      <c r="N348" s="5">
        <v>103</v>
      </c>
      <c r="O348" s="7">
        <v>185</v>
      </c>
    </row>
    <row r="349" spans="1:16" x14ac:dyDescent="0.2">
      <c r="A349" s="4" t="s">
        <v>393</v>
      </c>
      <c r="B349" s="4" t="s">
        <v>397</v>
      </c>
      <c r="C349" s="4" t="s">
        <v>15</v>
      </c>
      <c r="D349" s="4" t="s">
        <v>69</v>
      </c>
      <c r="E349" s="4" t="s">
        <v>16</v>
      </c>
      <c r="F349" s="5">
        <v>15825</v>
      </c>
      <c r="G349" s="5">
        <v>14811</v>
      </c>
      <c r="H349" s="6">
        <v>2.2000000000000002</v>
      </c>
      <c r="I349" s="5">
        <v>4</v>
      </c>
      <c r="J349" s="5">
        <v>140</v>
      </c>
      <c r="K349" s="5">
        <v>26</v>
      </c>
      <c r="L349" s="5">
        <v>35</v>
      </c>
      <c r="M349" s="5">
        <v>2692</v>
      </c>
      <c r="N349" s="5">
        <v>103</v>
      </c>
      <c r="O349" s="7">
        <v>185</v>
      </c>
    </row>
    <row r="350" spans="1:16" x14ac:dyDescent="0.2">
      <c r="A350" s="4" t="s">
        <v>393</v>
      </c>
      <c r="B350" s="4" t="s">
        <v>398</v>
      </c>
      <c r="C350" s="4" t="s">
        <v>15</v>
      </c>
      <c r="D350" s="4" t="s">
        <v>69</v>
      </c>
      <c r="E350" s="4" t="s">
        <v>16</v>
      </c>
      <c r="F350" s="5">
        <v>14850</v>
      </c>
      <c r="G350" s="5">
        <v>13904</v>
      </c>
      <c r="H350" s="6">
        <v>2.2000000000000002</v>
      </c>
      <c r="I350" s="5">
        <v>4</v>
      </c>
      <c r="J350" s="5">
        <v>140</v>
      </c>
      <c r="K350" s="5">
        <v>26</v>
      </c>
      <c r="L350" s="5">
        <v>35</v>
      </c>
      <c r="M350" s="5">
        <v>2751</v>
      </c>
      <c r="N350" s="5">
        <v>103</v>
      </c>
      <c r="O350" s="7">
        <v>185</v>
      </c>
      <c r="P350" t="s">
        <v>519</v>
      </c>
    </row>
    <row r="351" spans="1:16" x14ac:dyDescent="0.2">
      <c r="A351" s="4" t="s">
        <v>393</v>
      </c>
      <c r="B351" s="4" t="s">
        <v>399</v>
      </c>
      <c r="C351" s="4" t="s">
        <v>15</v>
      </c>
      <c r="D351" s="4" t="s">
        <v>69</v>
      </c>
      <c r="E351" s="4" t="s">
        <v>16</v>
      </c>
      <c r="F351" s="5">
        <v>16350</v>
      </c>
      <c r="G351" s="5">
        <v>15299</v>
      </c>
      <c r="H351" s="6">
        <v>2.2000000000000002</v>
      </c>
      <c r="I351" s="5">
        <v>4</v>
      </c>
      <c r="J351" s="5">
        <v>140</v>
      </c>
      <c r="K351" s="5">
        <v>26</v>
      </c>
      <c r="L351" s="5">
        <v>35</v>
      </c>
      <c r="M351" s="5">
        <v>2751</v>
      </c>
      <c r="N351" s="5">
        <v>103</v>
      </c>
      <c r="O351" s="7">
        <v>185</v>
      </c>
      <c r="P351" t="s">
        <v>518</v>
      </c>
    </row>
    <row r="352" spans="1:16" x14ac:dyDescent="0.2">
      <c r="A352" s="4" t="s">
        <v>393</v>
      </c>
      <c r="B352" s="4" t="s">
        <v>400</v>
      </c>
      <c r="C352" s="4" t="s">
        <v>15</v>
      </c>
      <c r="D352" s="4" t="s">
        <v>69</v>
      </c>
      <c r="E352" s="4" t="s">
        <v>16</v>
      </c>
      <c r="F352" s="5">
        <v>21410</v>
      </c>
      <c r="G352" s="5">
        <v>19801</v>
      </c>
      <c r="H352" s="6">
        <v>3</v>
      </c>
      <c r="I352" s="5">
        <v>6</v>
      </c>
      <c r="J352" s="5">
        <v>182</v>
      </c>
      <c r="K352" s="5">
        <v>20</v>
      </c>
      <c r="L352" s="5">
        <v>28</v>
      </c>
      <c r="M352" s="5">
        <v>3197</v>
      </c>
      <c r="N352" s="5">
        <v>107</v>
      </c>
      <c r="O352" s="7">
        <v>190</v>
      </c>
      <c r="P352" t="s">
        <v>517</v>
      </c>
    </row>
    <row r="353" spans="1:16" x14ac:dyDescent="0.2">
      <c r="A353" s="4" t="s">
        <v>393</v>
      </c>
      <c r="B353" s="4" t="s">
        <v>401</v>
      </c>
      <c r="C353" s="4" t="s">
        <v>44</v>
      </c>
      <c r="D353" s="4" t="s">
        <v>69</v>
      </c>
      <c r="E353" s="4" t="s">
        <v>16</v>
      </c>
      <c r="F353" s="5">
        <v>23560</v>
      </c>
      <c r="G353" s="5">
        <v>21779</v>
      </c>
      <c r="H353" s="6">
        <v>2.2000000000000002</v>
      </c>
      <c r="I353" s="5">
        <v>4</v>
      </c>
      <c r="J353" s="5">
        <v>140</v>
      </c>
      <c r="K353" s="5">
        <v>24</v>
      </c>
      <c r="L353" s="5">
        <v>34</v>
      </c>
      <c r="M353" s="5">
        <v>3109</v>
      </c>
      <c r="N353" s="5">
        <v>107</v>
      </c>
      <c r="O353" s="7">
        <v>190</v>
      </c>
      <c r="P353" t="s">
        <v>518</v>
      </c>
    </row>
    <row r="354" spans="1:16" x14ac:dyDescent="0.2">
      <c r="A354" s="4" t="s">
        <v>402</v>
      </c>
      <c r="B354" s="4" t="s">
        <v>403</v>
      </c>
      <c r="C354" s="4" t="s">
        <v>15</v>
      </c>
      <c r="D354" s="4" t="s">
        <v>12</v>
      </c>
      <c r="E354" s="4" t="s">
        <v>16</v>
      </c>
      <c r="F354" s="5">
        <v>12965</v>
      </c>
      <c r="G354" s="5">
        <v>12340</v>
      </c>
      <c r="H354" s="6">
        <v>1.5</v>
      </c>
      <c r="I354" s="5">
        <v>4</v>
      </c>
      <c r="J354" s="5">
        <v>108</v>
      </c>
      <c r="K354" s="5">
        <v>32</v>
      </c>
      <c r="L354" s="5">
        <v>38</v>
      </c>
      <c r="M354" s="5">
        <v>2340</v>
      </c>
      <c r="N354" s="5">
        <v>93</v>
      </c>
      <c r="O354" s="7">
        <v>154</v>
      </c>
      <c r="P354" t="s">
        <v>517</v>
      </c>
    </row>
    <row r="355" spans="1:16" x14ac:dyDescent="0.2">
      <c r="A355" s="4" t="s">
        <v>402</v>
      </c>
      <c r="B355" s="4" t="s">
        <v>404</v>
      </c>
      <c r="C355" s="4" t="s">
        <v>44</v>
      </c>
      <c r="D355" s="4" t="s">
        <v>12</v>
      </c>
      <c r="E355" s="4" t="s">
        <v>16</v>
      </c>
      <c r="F355" s="5">
        <v>14165</v>
      </c>
      <c r="G355" s="5">
        <v>13480</v>
      </c>
      <c r="H355" s="6">
        <v>1.5</v>
      </c>
      <c r="I355" s="5">
        <v>4</v>
      </c>
      <c r="J355" s="5">
        <v>108</v>
      </c>
      <c r="K355" s="5">
        <v>31</v>
      </c>
      <c r="L355" s="5">
        <v>35</v>
      </c>
      <c r="M355" s="5">
        <v>2425</v>
      </c>
      <c r="N355" s="5">
        <v>98</v>
      </c>
      <c r="O355" s="7">
        <v>155</v>
      </c>
      <c r="P355" t="s">
        <v>518</v>
      </c>
    </row>
    <row r="356" spans="1:16" x14ac:dyDescent="0.2">
      <c r="A356" s="4" t="s">
        <v>405</v>
      </c>
      <c r="B356" s="4" t="s">
        <v>406</v>
      </c>
      <c r="C356" s="4" t="s">
        <v>15</v>
      </c>
      <c r="D356" s="4" t="s">
        <v>12</v>
      </c>
      <c r="E356" s="4" t="s">
        <v>13</v>
      </c>
      <c r="F356" s="5">
        <v>19945</v>
      </c>
      <c r="G356" s="5">
        <v>18399</v>
      </c>
      <c r="H356" s="6">
        <v>2.5</v>
      </c>
      <c r="I356" s="5">
        <v>4</v>
      </c>
      <c r="J356" s="5">
        <v>165</v>
      </c>
      <c r="K356" s="5">
        <v>22</v>
      </c>
      <c r="L356" s="5">
        <v>28</v>
      </c>
      <c r="M356" s="5">
        <v>2965</v>
      </c>
      <c r="N356" s="5">
        <v>99</v>
      </c>
      <c r="O356" s="7">
        <v>174</v>
      </c>
      <c r="P356" t="s">
        <v>519</v>
      </c>
    </row>
    <row r="357" spans="1:16" x14ac:dyDescent="0.2">
      <c r="A357" s="4" t="s">
        <v>405</v>
      </c>
      <c r="B357" s="4" t="s">
        <v>407</v>
      </c>
      <c r="C357" s="4" t="s">
        <v>15</v>
      </c>
      <c r="D357" s="4" t="s">
        <v>12</v>
      </c>
      <c r="E357" s="4" t="s">
        <v>13</v>
      </c>
      <c r="F357" s="5">
        <v>20445</v>
      </c>
      <c r="G357" s="5">
        <v>18713</v>
      </c>
      <c r="H357" s="6">
        <v>2.5</v>
      </c>
      <c r="I357" s="5">
        <v>4</v>
      </c>
      <c r="J357" s="5">
        <v>165</v>
      </c>
      <c r="K357" s="5">
        <v>21</v>
      </c>
      <c r="L357" s="5">
        <v>28</v>
      </c>
      <c r="M357" s="5">
        <v>3285</v>
      </c>
      <c r="N357" s="5">
        <v>104</v>
      </c>
      <c r="O357" s="7">
        <v>184</v>
      </c>
      <c r="P357" t="s">
        <v>520</v>
      </c>
    </row>
    <row r="358" spans="1:16" x14ac:dyDescent="0.2">
      <c r="A358" s="4" t="s">
        <v>405</v>
      </c>
      <c r="B358" s="4" t="s">
        <v>408</v>
      </c>
      <c r="C358" s="4" t="s">
        <v>15</v>
      </c>
      <c r="D358" s="4" t="s">
        <v>12</v>
      </c>
      <c r="E358" s="4" t="s">
        <v>13</v>
      </c>
      <c r="F358" s="5">
        <v>25645</v>
      </c>
      <c r="G358" s="5">
        <v>23336</v>
      </c>
      <c r="H358" s="6">
        <v>2.5</v>
      </c>
      <c r="I358" s="5">
        <v>4</v>
      </c>
      <c r="J358" s="5">
        <v>165</v>
      </c>
      <c r="K358" s="5">
        <v>21</v>
      </c>
      <c r="L358" s="5">
        <v>28</v>
      </c>
      <c r="M358" s="5">
        <v>3395</v>
      </c>
      <c r="N358" s="5">
        <v>104</v>
      </c>
      <c r="O358" s="7">
        <v>184</v>
      </c>
      <c r="P358" t="s">
        <v>519</v>
      </c>
    </row>
    <row r="359" spans="1:16" x14ac:dyDescent="0.2">
      <c r="A359" s="4" t="s">
        <v>405</v>
      </c>
      <c r="B359" s="4" t="s">
        <v>409</v>
      </c>
      <c r="C359" s="4" t="s">
        <v>15</v>
      </c>
      <c r="D359" s="4" t="s">
        <v>12</v>
      </c>
      <c r="E359" s="4" t="s">
        <v>13</v>
      </c>
      <c r="F359" s="5">
        <v>27145</v>
      </c>
      <c r="G359" s="5">
        <v>24687</v>
      </c>
      <c r="H359" s="6">
        <v>2.5</v>
      </c>
      <c r="I359" s="5">
        <v>4</v>
      </c>
      <c r="J359" s="5">
        <v>165</v>
      </c>
      <c r="K359" s="5">
        <v>20</v>
      </c>
      <c r="L359" s="5">
        <v>27</v>
      </c>
      <c r="M359" s="5">
        <v>3495</v>
      </c>
      <c r="N359" s="5">
        <v>104</v>
      </c>
      <c r="O359" s="7">
        <v>184</v>
      </c>
      <c r="P359" t="s">
        <v>518</v>
      </c>
    </row>
    <row r="360" spans="1:16" x14ac:dyDescent="0.2">
      <c r="A360" s="4" t="s">
        <v>405</v>
      </c>
      <c r="B360" s="4" t="s">
        <v>410</v>
      </c>
      <c r="C360" s="4" t="s">
        <v>15</v>
      </c>
      <c r="D360" s="4" t="s">
        <v>12</v>
      </c>
      <c r="E360" s="4" t="s">
        <v>13</v>
      </c>
      <c r="F360" s="5">
        <v>29345</v>
      </c>
      <c r="G360" s="5">
        <v>26660</v>
      </c>
      <c r="H360" s="6">
        <v>3</v>
      </c>
      <c r="I360" s="5">
        <v>6</v>
      </c>
      <c r="J360" s="5">
        <v>212</v>
      </c>
      <c r="K360" s="5">
        <v>19</v>
      </c>
      <c r="L360" s="5">
        <v>26</v>
      </c>
      <c r="M360" s="5">
        <v>3610</v>
      </c>
      <c r="N360" s="5">
        <v>104</v>
      </c>
      <c r="O360" s="7">
        <v>184</v>
      </c>
      <c r="P360" t="s">
        <v>517</v>
      </c>
    </row>
    <row r="361" spans="1:16" x14ac:dyDescent="0.2">
      <c r="A361" s="4" t="s">
        <v>405</v>
      </c>
      <c r="B361" s="4" t="s">
        <v>411</v>
      </c>
      <c r="C361" s="4" t="s">
        <v>15</v>
      </c>
      <c r="D361" s="4" t="s">
        <v>12</v>
      </c>
      <c r="E361" s="4" t="s">
        <v>13</v>
      </c>
      <c r="F361" s="5">
        <v>31545</v>
      </c>
      <c r="G361" s="5">
        <v>28603</v>
      </c>
      <c r="H361" s="6">
        <v>3</v>
      </c>
      <c r="I361" s="5">
        <v>6</v>
      </c>
      <c r="J361" s="5">
        <v>212</v>
      </c>
      <c r="K361" s="5">
        <v>19</v>
      </c>
      <c r="L361" s="5">
        <v>26</v>
      </c>
      <c r="M361" s="5">
        <v>3630</v>
      </c>
      <c r="N361" s="5">
        <v>104</v>
      </c>
      <c r="O361" s="7">
        <v>184</v>
      </c>
    </row>
    <row r="362" spans="1:16" x14ac:dyDescent="0.2">
      <c r="A362" s="4" t="s">
        <v>405</v>
      </c>
      <c r="B362" s="4" t="s">
        <v>412</v>
      </c>
      <c r="C362" s="4" t="s">
        <v>22</v>
      </c>
      <c r="D362" s="4" t="s">
        <v>12</v>
      </c>
      <c r="E362" s="4" t="s">
        <v>13</v>
      </c>
      <c r="F362" s="5">
        <v>25045</v>
      </c>
      <c r="G362" s="5">
        <v>23022</v>
      </c>
      <c r="H362" s="6">
        <v>2</v>
      </c>
      <c r="I362" s="5">
        <v>4</v>
      </c>
      <c r="J362" s="5">
        <v>227</v>
      </c>
      <c r="K362" s="5">
        <v>20</v>
      </c>
      <c r="L362" s="5">
        <v>27</v>
      </c>
      <c r="M362" s="5">
        <v>3085</v>
      </c>
      <c r="N362" s="5">
        <v>99</v>
      </c>
      <c r="O362" s="7">
        <v>174</v>
      </c>
    </row>
    <row r="363" spans="1:16" x14ac:dyDescent="0.2">
      <c r="A363" s="4" t="s">
        <v>405</v>
      </c>
      <c r="B363" s="4" t="s">
        <v>413</v>
      </c>
      <c r="C363" s="4" t="s">
        <v>22</v>
      </c>
      <c r="D363" s="4" t="s">
        <v>12</v>
      </c>
      <c r="E363" s="4" t="s">
        <v>13</v>
      </c>
      <c r="F363" s="5">
        <v>31545</v>
      </c>
      <c r="G363" s="5">
        <v>29130</v>
      </c>
      <c r="H363" s="6">
        <v>2.5</v>
      </c>
      <c r="I363" s="5">
        <v>4</v>
      </c>
      <c r="J363" s="5">
        <v>300</v>
      </c>
      <c r="K363" s="5">
        <v>18</v>
      </c>
      <c r="L363" s="5">
        <v>24</v>
      </c>
      <c r="M363" s="5">
        <v>3263</v>
      </c>
      <c r="N363" s="5">
        <v>100</v>
      </c>
      <c r="O363" s="7">
        <v>174</v>
      </c>
    </row>
    <row r="364" spans="1:16" x14ac:dyDescent="0.2">
      <c r="A364" s="4" t="s">
        <v>405</v>
      </c>
      <c r="B364" s="4" t="s">
        <v>414</v>
      </c>
      <c r="C364" s="4" t="s">
        <v>87</v>
      </c>
      <c r="D364" s="4" t="s">
        <v>12</v>
      </c>
      <c r="E364" s="4" t="s">
        <v>13</v>
      </c>
      <c r="F364" s="5">
        <v>24520</v>
      </c>
      <c r="G364" s="5">
        <v>22304</v>
      </c>
      <c r="H364" s="6">
        <v>2.5</v>
      </c>
      <c r="I364" s="5">
        <v>4</v>
      </c>
      <c r="J364" s="5">
        <v>165</v>
      </c>
      <c r="K364" s="5">
        <v>21</v>
      </c>
      <c r="L364" s="5">
        <v>28</v>
      </c>
      <c r="M364" s="5">
        <v>3485</v>
      </c>
      <c r="N364" s="5">
        <v>104</v>
      </c>
      <c r="O364" s="7">
        <v>193</v>
      </c>
      <c r="P364" t="s">
        <v>517</v>
      </c>
    </row>
    <row r="365" spans="1:16" x14ac:dyDescent="0.2">
      <c r="A365" s="4" t="s">
        <v>405</v>
      </c>
      <c r="B365" s="4" t="s">
        <v>415</v>
      </c>
      <c r="C365" s="4" t="s">
        <v>44</v>
      </c>
      <c r="D365" s="4" t="s">
        <v>12</v>
      </c>
      <c r="E365" s="4" t="s">
        <v>13</v>
      </c>
      <c r="F365" s="5">
        <v>21445</v>
      </c>
      <c r="G365" s="5">
        <v>19646</v>
      </c>
      <c r="H365" s="6">
        <v>2.5</v>
      </c>
      <c r="I365" s="5">
        <v>4</v>
      </c>
      <c r="J365" s="5">
        <v>165</v>
      </c>
      <c r="K365" s="5">
        <v>21</v>
      </c>
      <c r="L365" s="5">
        <v>28</v>
      </c>
      <c r="M365" s="5">
        <v>3090</v>
      </c>
      <c r="N365" s="5">
        <v>99</v>
      </c>
      <c r="O365" s="7">
        <v>175</v>
      </c>
      <c r="P365" t="s">
        <v>518</v>
      </c>
    </row>
    <row r="366" spans="1:16" x14ac:dyDescent="0.2">
      <c r="A366" s="4" t="s">
        <v>405</v>
      </c>
      <c r="B366" s="4" t="s">
        <v>416</v>
      </c>
      <c r="C366" s="4" t="s">
        <v>44</v>
      </c>
      <c r="D366" s="4" t="s">
        <v>12</v>
      </c>
      <c r="E366" s="4" t="s">
        <v>13</v>
      </c>
      <c r="F366" s="5">
        <v>23895</v>
      </c>
      <c r="G366" s="5">
        <v>21773</v>
      </c>
      <c r="H366" s="6">
        <v>2.5</v>
      </c>
      <c r="I366" s="5">
        <v>4</v>
      </c>
      <c r="J366" s="5">
        <v>165</v>
      </c>
      <c r="K366" s="5">
        <v>21</v>
      </c>
      <c r="L366" s="5">
        <v>28</v>
      </c>
      <c r="M366" s="5">
        <v>3430</v>
      </c>
      <c r="N366" s="5">
        <v>104</v>
      </c>
      <c r="O366" s="7">
        <v>187</v>
      </c>
      <c r="P366" t="s">
        <v>519</v>
      </c>
    </row>
    <row r="367" spans="1:16" x14ac:dyDescent="0.2">
      <c r="A367" s="4" t="s">
        <v>417</v>
      </c>
      <c r="B367" s="4" t="s">
        <v>418</v>
      </c>
      <c r="C367" s="4" t="s">
        <v>11</v>
      </c>
      <c r="D367" s="4" t="s">
        <v>12</v>
      </c>
      <c r="E367" s="4" t="s">
        <v>16</v>
      </c>
      <c r="F367" s="5">
        <v>23699</v>
      </c>
      <c r="G367" s="5">
        <v>22307</v>
      </c>
      <c r="H367" s="6">
        <v>2.7</v>
      </c>
      <c r="I367" s="5">
        <v>6</v>
      </c>
      <c r="J367" s="5">
        <v>185</v>
      </c>
      <c r="K367" s="5">
        <v>18</v>
      </c>
      <c r="L367" s="5">
        <v>22</v>
      </c>
      <c r="M367" s="5">
        <v>3682</v>
      </c>
      <c r="N367" s="5">
        <v>110</v>
      </c>
      <c r="O367" s="7">
        <v>187</v>
      </c>
      <c r="P367" t="s">
        <v>520</v>
      </c>
    </row>
    <row r="368" spans="1:16" x14ac:dyDescent="0.2">
      <c r="A368" s="4" t="s">
        <v>417</v>
      </c>
      <c r="B368" s="4" t="s">
        <v>419</v>
      </c>
      <c r="C368" s="4" t="s">
        <v>11</v>
      </c>
      <c r="D368" s="4" t="s">
        <v>12</v>
      </c>
      <c r="E368" s="4" t="s">
        <v>13</v>
      </c>
      <c r="F368" s="5">
        <v>17163</v>
      </c>
      <c r="G368" s="5">
        <v>16949</v>
      </c>
      <c r="H368" s="6">
        <v>2.5</v>
      </c>
      <c r="I368" s="5">
        <v>6</v>
      </c>
      <c r="J368" s="5">
        <v>165</v>
      </c>
      <c r="K368" s="5">
        <v>19</v>
      </c>
      <c r="L368" s="5">
        <v>22</v>
      </c>
      <c r="M368" s="5">
        <v>3020</v>
      </c>
      <c r="N368" s="5">
        <v>98</v>
      </c>
      <c r="O368" s="7">
        <v>163</v>
      </c>
      <c r="P368" t="s">
        <v>519</v>
      </c>
    </row>
    <row r="369" spans="1:16" x14ac:dyDescent="0.2">
      <c r="A369" s="4" t="s">
        <v>417</v>
      </c>
      <c r="B369" s="4" t="s">
        <v>420</v>
      </c>
      <c r="C369" s="4" t="s">
        <v>15</v>
      </c>
      <c r="D369" s="4" t="s">
        <v>12</v>
      </c>
      <c r="E369" s="4" t="s">
        <v>16</v>
      </c>
      <c r="F369" s="5">
        <v>12884</v>
      </c>
      <c r="G369" s="5">
        <v>12719</v>
      </c>
      <c r="H369" s="6">
        <v>2.2999999999999998</v>
      </c>
      <c r="I369" s="5">
        <v>4</v>
      </c>
      <c r="J369" s="5">
        <v>155</v>
      </c>
      <c r="K369" s="5">
        <v>25</v>
      </c>
      <c r="L369" s="5">
        <v>31</v>
      </c>
      <c r="M369" s="5">
        <v>2676</v>
      </c>
      <c r="N369" s="5">
        <v>98</v>
      </c>
      <c r="O369" s="7">
        <v>171</v>
      </c>
      <c r="P369" t="s">
        <v>518</v>
      </c>
    </row>
    <row r="370" spans="1:16" x14ac:dyDescent="0.2">
      <c r="A370" s="4" t="s">
        <v>417</v>
      </c>
      <c r="B370" s="4" t="s">
        <v>421</v>
      </c>
      <c r="C370" s="4" t="s">
        <v>15</v>
      </c>
      <c r="D370" s="4" t="s">
        <v>12</v>
      </c>
      <c r="E370" s="4" t="s">
        <v>16</v>
      </c>
      <c r="F370" s="5">
        <v>14500</v>
      </c>
      <c r="G370" s="5">
        <v>14317</v>
      </c>
      <c r="H370" s="6">
        <v>2.2999999999999998</v>
      </c>
      <c r="I370" s="5">
        <v>4</v>
      </c>
      <c r="J370" s="5">
        <v>155</v>
      </c>
      <c r="K370" s="5">
        <v>25</v>
      </c>
      <c r="L370" s="5">
        <v>31</v>
      </c>
      <c r="M370" s="5">
        <v>2676</v>
      </c>
      <c r="N370" s="5">
        <v>98</v>
      </c>
      <c r="O370" s="7">
        <v>171</v>
      </c>
      <c r="P370" t="s">
        <v>517</v>
      </c>
    </row>
    <row r="371" spans="1:16" x14ac:dyDescent="0.2">
      <c r="A371" s="4" t="s">
        <v>417</v>
      </c>
      <c r="B371" s="4" t="s">
        <v>422</v>
      </c>
      <c r="C371" s="4" t="s">
        <v>15</v>
      </c>
      <c r="D371" s="4" t="s">
        <v>12</v>
      </c>
      <c r="E371" s="4" t="s">
        <v>16</v>
      </c>
      <c r="F371" s="5">
        <v>12269</v>
      </c>
      <c r="G371" s="5">
        <v>12116</v>
      </c>
      <c r="H371" s="6">
        <v>2</v>
      </c>
      <c r="I371" s="5">
        <v>4</v>
      </c>
      <c r="J371" s="5">
        <v>119</v>
      </c>
      <c r="K371" s="5">
        <v>24</v>
      </c>
      <c r="L371" s="5">
        <v>31</v>
      </c>
      <c r="M371" s="5">
        <v>2701</v>
      </c>
      <c r="N371" s="5">
        <v>102</v>
      </c>
      <c r="O371" s="7">
        <v>177</v>
      </c>
      <c r="P371" t="s">
        <v>518</v>
      </c>
    </row>
    <row r="372" spans="1:16" x14ac:dyDescent="0.2">
      <c r="A372" s="4" t="s">
        <v>417</v>
      </c>
      <c r="B372" s="4" t="s">
        <v>423</v>
      </c>
      <c r="C372" s="4" t="s">
        <v>15</v>
      </c>
      <c r="D372" s="4" t="s">
        <v>12</v>
      </c>
      <c r="E372" s="4" t="s">
        <v>16</v>
      </c>
      <c r="F372" s="5">
        <v>15568</v>
      </c>
      <c r="G372" s="5">
        <v>15378</v>
      </c>
      <c r="H372" s="6">
        <v>2</v>
      </c>
      <c r="I372" s="5">
        <v>4</v>
      </c>
      <c r="J372" s="5">
        <v>119</v>
      </c>
      <c r="K372" s="5">
        <v>22</v>
      </c>
      <c r="L372" s="5">
        <v>30</v>
      </c>
      <c r="M372" s="5">
        <v>2756</v>
      </c>
      <c r="N372" s="5">
        <v>102</v>
      </c>
      <c r="O372" s="7">
        <v>177</v>
      </c>
      <c r="P372" t="s">
        <v>519</v>
      </c>
    </row>
    <row r="373" spans="1:16" x14ac:dyDescent="0.2">
      <c r="A373" s="4" t="s">
        <v>417</v>
      </c>
      <c r="B373" s="4" t="s">
        <v>424</v>
      </c>
      <c r="C373" s="4" t="s">
        <v>15</v>
      </c>
      <c r="D373" s="4" t="s">
        <v>12</v>
      </c>
      <c r="E373" s="4" t="s">
        <v>16</v>
      </c>
      <c r="F373" s="5">
        <v>17262</v>
      </c>
      <c r="G373" s="5">
        <v>17053</v>
      </c>
      <c r="H373" s="6">
        <v>2.5</v>
      </c>
      <c r="I373" s="5">
        <v>6</v>
      </c>
      <c r="J373" s="5">
        <v>155</v>
      </c>
      <c r="K373" s="5">
        <v>20</v>
      </c>
      <c r="L373" s="5">
        <v>27</v>
      </c>
      <c r="M373" s="5">
        <v>3380</v>
      </c>
      <c r="N373" s="5">
        <v>106</v>
      </c>
      <c r="O373" s="7">
        <v>188</v>
      </c>
      <c r="P373" t="s">
        <v>520</v>
      </c>
    </row>
    <row r="374" spans="1:16" x14ac:dyDescent="0.2">
      <c r="A374" s="4" t="s">
        <v>417</v>
      </c>
      <c r="B374" s="4" t="s">
        <v>425</v>
      </c>
      <c r="C374" s="4" t="s">
        <v>44</v>
      </c>
      <c r="D374" s="4" t="s">
        <v>12</v>
      </c>
      <c r="E374" s="4" t="s">
        <v>13</v>
      </c>
      <c r="F374" s="5">
        <v>16497</v>
      </c>
      <c r="G374" s="5">
        <v>16291</v>
      </c>
      <c r="H374" s="6">
        <v>2.2999999999999998</v>
      </c>
      <c r="I374" s="5">
        <v>4</v>
      </c>
      <c r="J374" s="5">
        <v>155</v>
      </c>
      <c r="K374" s="5">
        <v>24</v>
      </c>
      <c r="L374" s="5">
        <v>29</v>
      </c>
      <c r="M374" s="5">
        <v>2932</v>
      </c>
      <c r="N374" s="5">
        <v>98</v>
      </c>
      <c r="O374" s="7">
        <v>167</v>
      </c>
      <c r="P374" t="s">
        <v>520</v>
      </c>
    </row>
    <row r="375" spans="1:16" x14ac:dyDescent="0.2">
      <c r="A375" s="4" t="s">
        <v>426</v>
      </c>
      <c r="B375" s="4" t="s">
        <v>427</v>
      </c>
      <c r="C375" s="4" t="s">
        <v>181</v>
      </c>
      <c r="D375" s="4" t="s">
        <v>12</v>
      </c>
      <c r="E375" s="4" t="s">
        <v>16</v>
      </c>
      <c r="F375" s="5">
        <v>20510</v>
      </c>
      <c r="G375" s="5">
        <v>18926</v>
      </c>
      <c r="H375" s="6">
        <v>1.5</v>
      </c>
      <c r="I375" s="5">
        <v>4</v>
      </c>
      <c r="J375" s="5">
        <v>110</v>
      </c>
      <c r="K375" s="5">
        <v>59</v>
      </c>
      <c r="L375" s="5">
        <v>51</v>
      </c>
      <c r="M375" s="5">
        <v>2890</v>
      </c>
      <c r="N375" s="5">
        <v>106</v>
      </c>
      <c r="O375" s="7">
        <v>175</v>
      </c>
      <c r="P375" t="s">
        <v>519</v>
      </c>
    </row>
    <row r="376" spans="1:16" x14ac:dyDescent="0.2">
      <c r="A376" s="4" t="s">
        <v>426</v>
      </c>
      <c r="B376" s="4" t="s">
        <v>428</v>
      </c>
      <c r="C376" s="4" t="s">
        <v>11</v>
      </c>
      <c r="D376" s="4" t="s">
        <v>12</v>
      </c>
      <c r="E376" s="4" t="s">
        <v>13</v>
      </c>
      <c r="F376" s="5">
        <v>35695</v>
      </c>
      <c r="G376" s="5">
        <v>31827</v>
      </c>
      <c r="H376" s="6">
        <v>4.7</v>
      </c>
      <c r="I376" s="5">
        <v>8</v>
      </c>
      <c r="J376" s="5">
        <v>240</v>
      </c>
      <c r="K376" s="5">
        <v>14</v>
      </c>
      <c r="L376" s="5">
        <v>17</v>
      </c>
      <c r="M376" s="5">
        <v>5270</v>
      </c>
      <c r="N376" s="5">
        <v>118</v>
      </c>
      <c r="O376" s="7">
        <v>204</v>
      </c>
      <c r="P376" t="s">
        <v>520</v>
      </c>
    </row>
    <row r="377" spans="1:16" x14ac:dyDescent="0.2">
      <c r="A377" s="4" t="s">
        <v>426</v>
      </c>
      <c r="B377" s="4" t="s">
        <v>429</v>
      </c>
      <c r="C377" s="4" t="s">
        <v>11</v>
      </c>
      <c r="D377" s="4" t="s">
        <v>12</v>
      </c>
      <c r="E377" s="4" t="s">
        <v>16</v>
      </c>
      <c r="F377" s="5">
        <v>27710</v>
      </c>
      <c r="G377" s="5">
        <v>24801</v>
      </c>
      <c r="H377" s="6">
        <v>4</v>
      </c>
      <c r="I377" s="5">
        <v>6</v>
      </c>
      <c r="J377" s="5">
        <v>245</v>
      </c>
      <c r="K377" s="5">
        <v>18</v>
      </c>
      <c r="L377" s="5">
        <v>21</v>
      </c>
      <c r="M377" s="5">
        <v>4035</v>
      </c>
      <c r="N377" s="5">
        <v>110</v>
      </c>
      <c r="O377" s="7">
        <v>189</v>
      </c>
      <c r="P377" t="s">
        <v>519</v>
      </c>
    </row>
    <row r="378" spans="1:16" x14ac:dyDescent="0.2">
      <c r="A378" s="4" t="s">
        <v>426</v>
      </c>
      <c r="B378" s="4" t="s">
        <v>430</v>
      </c>
      <c r="C378" s="4" t="s">
        <v>11</v>
      </c>
      <c r="D378" s="4" t="s">
        <v>12</v>
      </c>
      <c r="E378" s="4" t="s">
        <v>13</v>
      </c>
      <c r="F378" s="5">
        <v>27930</v>
      </c>
      <c r="G378" s="5">
        <v>24915</v>
      </c>
      <c r="H378" s="6">
        <v>3.3</v>
      </c>
      <c r="I378" s="5">
        <v>6</v>
      </c>
      <c r="J378" s="5">
        <v>230</v>
      </c>
      <c r="K378" s="5">
        <v>18</v>
      </c>
      <c r="L378" s="5">
        <v>24</v>
      </c>
      <c r="M378" s="5">
        <v>3935</v>
      </c>
      <c r="N378" s="5">
        <v>107</v>
      </c>
      <c r="O378" s="7">
        <v>185</v>
      </c>
    </row>
    <row r="379" spans="1:16" x14ac:dyDescent="0.2">
      <c r="A379" s="4" t="s">
        <v>426</v>
      </c>
      <c r="B379" s="4" t="s">
        <v>431</v>
      </c>
      <c r="C379" s="4" t="s">
        <v>11</v>
      </c>
      <c r="D379" s="4" t="s">
        <v>12</v>
      </c>
      <c r="E379" s="4" t="s">
        <v>13</v>
      </c>
      <c r="F379" s="5">
        <v>54765</v>
      </c>
      <c r="G379" s="5">
        <v>47986</v>
      </c>
      <c r="H379" s="6">
        <v>4.7</v>
      </c>
      <c r="I379" s="5">
        <v>8</v>
      </c>
      <c r="J379" s="5">
        <v>325</v>
      </c>
      <c r="K379" s="5">
        <v>13</v>
      </c>
      <c r="L379" s="5">
        <v>17</v>
      </c>
      <c r="M379" s="5">
        <v>5390</v>
      </c>
      <c r="N379" s="5">
        <v>112</v>
      </c>
      <c r="O379" s="7">
        <v>193</v>
      </c>
    </row>
    <row r="380" spans="1:16" x14ac:dyDescent="0.2">
      <c r="A380" s="4" t="s">
        <v>426</v>
      </c>
      <c r="B380" s="4" t="s">
        <v>432</v>
      </c>
      <c r="C380" s="4" t="s">
        <v>11</v>
      </c>
      <c r="D380" s="4" t="s">
        <v>12</v>
      </c>
      <c r="E380" s="4" t="s">
        <v>13</v>
      </c>
      <c r="F380" s="5">
        <v>20290</v>
      </c>
      <c r="G380" s="5">
        <v>18553</v>
      </c>
      <c r="H380" s="6">
        <v>2.4</v>
      </c>
      <c r="I380" s="5">
        <v>4</v>
      </c>
      <c r="J380" s="5">
        <v>161</v>
      </c>
      <c r="K380" s="5">
        <v>22</v>
      </c>
      <c r="L380" s="5">
        <v>27</v>
      </c>
      <c r="M380" s="5">
        <v>3119</v>
      </c>
      <c r="N380" s="5">
        <v>98</v>
      </c>
      <c r="O380" s="7">
        <v>167</v>
      </c>
    </row>
    <row r="381" spans="1:16" x14ac:dyDescent="0.2">
      <c r="A381" s="4" t="s">
        <v>426</v>
      </c>
      <c r="B381" s="4" t="s">
        <v>433</v>
      </c>
      <c r="C381" s="4" t="s">
        <v>15</v>
      </c>
      <c r="D381" s="4" t="s">
        <v>12</v>
      </c>
      <c r="E381" s="4" t="s">
        <v>16</v>
      </c>
      <c r="F381" s="5">
        <v>14085</v>
      </c>
      <c r="G381" s="5">
        <v>13065</v>
      </c>
      <c r="H381" s="6">
        <v>1.8</v>
      </c>
      <c r="I381" s="5">
        <v>4</v>
      </c>
      <c r="J381" s="5">
        <v>130</v>
      </c>
      <c r="K381" s="5">
        <v>32</v>
      </c>
      <c r="L381" s="5">
        <v>40</v>
      </c>
      <c r="M381" s="5">
        <v>2502</v>
      </c>
      <c r="N381" s="5">
        <v>102</v>
      </c>
      <c r="O381" s="7">
        <v>178</v>
      </c>
      <c r="P381" t="s">
        <v>519</v>
      </c>
    </row>
    <row r="382" spans="1:16" x14ac:dyDescent="0.2">
      <c r="A382" s="4" t="s">
        <v>426</v>
      </c>
      <c r="B382" s="4" t="s">
        <v>434</v>
      </c>
      <c r="C382" s="4" t="s">
        <v>15</v>
      </c>
      <c r="D382" s="4" t="s">
        <v>12</v>
      </c>
      <c r="E382" s="4" t="s">
        <v>16</v>
      </c>
      <c r="F382" s="5">
        <v>15030</v>
      </c>
      <c r="G382" s="5">
        <v>13650</v>
      </c>
      <c r="H382" s="6">
        <v>1.8</v>
      </c>
      <c r="I382" s="5">
        <v>4</v>
      </c>
      <c r="J382" s="5">
        <v>130</v>
      </c>
      <c r="K382" s="5">
        <v>32</v>
      </c>
      <c r="L382" s="5">
        <v>40</v>
      </c>
      <c r="M382" s="5">
        <v>2524</v>
      </c>
      <c r="N382" s="5">
        <v>102</v>
      </c>
      <c r="O382" s="7">
        <v>178</v>
      </c>
      <c r="P382" t="s">
        <v>518</v>
      </c>
    </row>
    <row r="383" spans="1:16" x14ac:dyDescent="0.2">
      <c r="A383" s="4" t="s">
        <v>426</v>
      </c>
      <c r="B383" s="4" t="s">
        <v>435</v>
      </c>
      <c r="C383" s="4" t="s">
        <v>15</v>
      </c>
      <c r="D383" s="4" t="s">
        <v>12</v>
      </c>
      <c r="E383" s="4" t="s">
        <v>16</v>
      </c>
      <c r="F383" s="5">
        <v>15295</v>
      </c>
      <c r="G383" s="5">
        <v>13889</v>
      </c>
      <c r="H383" s="6">
        <v>1.8</v>
      </c>
      <c r="I383" s="5">
        <v>4</v>
      </c>
      <c r="J383" s="5">
        <v>130</v>
      </c>
      <c r="K383" s="5">
        <v>32</v>
      </c>
      <c r="L383" s="5">
        <v>40</v>
      </c>
      <c r="M383" s="5">
        <v>2524</v>
      </c>
      <c r="N383" s="5">
        <v>102</v>
      </c>
      <c r="O383" s="7">
        <v>178</v>
      </c>
      <c r="P383" t="s">
        <v>517</v>
      </c>
    </row>
    <row r="384" spans="1:16" x14ac:dyDescent="0.2">
      <c r="A384" s="4" t="s">
        <v>426</v>
      </c>
      <c r="B384" s="4" t="s">
        <v>436</v>
      </c>
      <c r="C384" s="4" t="s">
        <v>15</v>
      </c>
      <c r="D384" s="4" t="s">
        <v>12</v>
      </c>
      <c r="E384" s="4" t="s">
        <v>16</v>
      </c>
      <c r="F384" s="5">
        <v>10760</v>
      </c>
      <c r="G384" s="5">
        <v>10144</v>
      </c>
      <c r="H384" s="6">
        <v>1.5</v>
      </c>
      <c r="I384" s="5">
        <v>4</v>
      </c>
      <c r="J384" s="5">
        <v>108</v>
      </c>
      <c r="K384" s="5">
        <v>35</v>
      </c>
      <c r="L384" s="5">
        <v>43</v>
      </c>
      <c r="M384" s="5">
        <v>2035</v>
      </c>
      <c r="N384" s="5">
        <v>93</v>
      </c>
      <c r="O384" s="7">
        <v>163</v>
      </c>
      <c r="P384" t="s">
        <v>518</v>
      </c>
    </row>
    <row r="385" spans="1:16" x14ac:dyDescent="0.2">
      <c r="A385" s="4" t="s">
        <v>426</v>
      </c>
      <c r="B385" s="4" t="s">
        <v>437</v>
      </c>
      <c r="C385" s="4" t="s">
        <v>15</v>
      </c>
      <c r="D385" s="4" t="s">
        <v>12</v>
      </c>
      <c r="E385" s="4" t="s">
        <v>16</v>
      </c>
      <c r="F385" s="5">
        <v>11560</v>
      </c>
      <c r="G385" s="5">
        <v>10896</v>
      </c>
      <c r="H385" s="6">
        <v>1.5</v>
      </c>
      <c r="I385" s="5">
        <v>4</v>
      </c>
      <c r="J385" s="5">
        <v>108</v>
      </c>
      <c r="K385" s="5">
        <v>33</v>
      </c>
      <c r="L385" s="5">
        <v>39</v>
      </c>
      <c r="M385" s="5">
        <v>2085</v>
      </c>
      <c r="N385" s="5">
        <v>93</v>
      </c>
      <c r="O385" s="7">
        <v>163</v>
      </c>
      <c r="P385" t="s">
        <v>517</v>
      </c>
    </row>
    <row r="386" spans="1:16" x14ac:dyDescent="0.2">
      <c r="A386" s="4" t="s">
        <v>426</v>
      </c>
      <c r="B386" s="4" t="s">
        <v>438</v>
      </c>
      <c r="C386" s="4" t="s">
        <v>15</v>
      </c>
      <c r="D386" s="4" t="s">
        <v>12</v>
      </c>
      <c r="E386" s="4" t="s">
        <v>16</v>
      </c>
      <c r="F386" s="5">
        <v>11290</v>
      </c>
      <c r="G386" s="5">
        <v>10642</v>
      </c>
      <c r="H386" s="6">
        <v>1.5</v>
      </c>
      <c r="I386" s="5">
        <v>4</v>
      </c>
      <c r="J386" s="5">
        <v>108</v>
      </c>
      <c r="K386" s="5">
        <v>35</v>
      </c>
      <c r="L386" s="5">
        <v>43</v>
      </c>
      <c r="M386" s="5">
        <v>2055</v>
      </c>
      <c r="N386" s="5">
        <v>93</v>
      </c>
      <c r="O386" s="7">
        <v>163</v>
      </c>
      <c r="P386" t="s">
        <v>518</v>
      </c>
    </row>
    <row r="387" spans="1:16" x14ac:dyDescent="0.2">
      <c r="A387" s="4" t="s">
        <v>426</v>
      </c>
      <c r="B387" s="4" t="s">
        <v>439</v>
      </c>
      <c r="C387" s="4" t="s">
        <v>15</v>
      </c>
      <c r="D387" s="4" t="s">
        <v>12</v>
      </c>
      <c r="E387" s="4" t="s">
        <v>16</v>
      </c>
      <c r="F387" s="5">
        <v>19560</v>
      </c>
      <c r="G387" s="5">
        <v>17558</v>
      </c>
      <c r="H387" s="6">
        <v>2.4</v>
      </c>
      <c r="I387" s="5">
        <v>4</v>
      </c>
      <c r="J387" s="5">
        <v>157</v>
      </c>
      <c r="K387" s="5">
        <v>24</v>
      </c>
      <c r="L387" s="5">
        <v>33</v>
      </c>
      <c r="M387" s="5">
        <v>3086</v>
      </c>
      <c r="N387" s="5">
        <v>107</v>
      </c>
      <c r="O387" s="7">
        <v>189</v>
      </c>
      <c r="P387" t="s">
        <v>519</v>
      </c>
    </row>
    <row r="388" spans="1:16" x14ac:dyDescent="0.2">
      <c r="A388" s="4" t="s">
        <v>426</v>
      </c>
      <c r="B388" s="4" t="s">
        <v>440</v>
      </c>
      <c r="C388" s="4" t="s">
        <v>15</v>
      </c>
      <c r="D388" s="4" t="s">
        <v>12</v>
      </c>
      <c r="E388" s="4" t="s">
        <v>16</v>
      </c>
      <c r="F388" s="5">
        <v>22775</v>
      </c>
      <c r="G388" s="5">
        <v>20325</v>
      </c>
      <c r="H388" s="6">
        <v>3</v>
      </c>
      <c r="I388" s="5">
        <v>6</v>
      </c>
      <c r="J388" s="5">
        <v>210</v>
      </c>
      <c r="K388" s="5">
        <v>21</v>
      </c>
      <c r="L388" s="5">
        <v>29</v>
      </c>
      <c r="M388" s="5">
        <v>3296</v>
      </c>
      <c r="N388" s="5">
        <v>107</v>
      </c>
      <c r="O388" s="7">
        <v>189</v>
      </c>
      <c r="P388" t="s">
        <v>520</v>
      </c>
    </row>
    <row r="389" spans="1:16" x14ac:dyDescent="0.2">
      <c r="A389" s="4" t="s">
        <v>426</v>
      </c>
      <c r="B389" s="4" t="s">
        <v>441</v>
      </c>
      <c r="C389" s="4" t="s">
        <v>15</v>
      </c>
      <c r="D389" s="4" t="s">
        <v>12</v>
      </c>
      <c r="E389" s="4" t="s">
        <v>16</v>
      </c>
      <c r="F389" s="5">
        <v>19635</v>
      </c>
      <c r="G389" s="5">
        <v>17722</v>
      </c>
      <c r="H389" s="6">
        <v>2.4</v>
      </c>
      <c r="I389" s="5">
        <v>4</v>
      </c>
      <c r="J389" s="5">
        <v>157</v>
      </c>
      <c r="K389" s="5">
        <v>24</v>
      </c>
      <c r="L389" s="5">
        <v>33</v>
      </c>
      <c r="M389" s="5">
        <v>3175</v>
      </c>
      <c r="N389" s="5">
        <v>107</v>
      </c>
      <c r="O389" s="7">
        <v>193</v>
      </c>
      <c r="P389" t="s">
        <v>519</v>
      </c>
    </row>
    <row r="390" spans="1:16" x14ac:dyDescent="0.2">
      <c r="A390" s="4" t="s">
        <v>426</v>
      </c>
      <c r="B390" s="4" t="s">
        <v>442</v>
      </c>
      <c r="C390" s="4" t="s">
        <v>15</v>
      </c>
      <c r="D390" s="4" t="s">
        <v>12</v>
      </c>
      <c r="E390" s="4" t="s">
        <v>16</v>
      </c>
      <c r="F390" s="5">
        <v>21965</v>
      </c>
      <c r="G390" s="5">
        <v>19819</v>
      </c>
      <c r="H390" s="6">
        <v>3.3</v>
      </c>
      <c r="I390" s="5">
        <v>6</v>
      </c>
      <c r="J390" s="5">
        <v>225</v>
      </c>
      <c r="K390" s="5">
        <v>20</v>
      </c>
      <c r="L390" s="5">
        <v>29</v>
      </c>
      <c r="M390" s="5">
        <v>3417</v>
      </c>
      <c r="N390" s="5">
        <v>107</v>
      </c>
      <c r="O390" s="7">
        <v>193</v>
      </c>
      <c r="P390" t="s">
        <v>518</v>
      </c>
    </row>
    <row r="391" spans="1:16" x14ac:dyDescent="0.2">
      <c r="A391" s="4" t="s">
        <v>426</v>
      </c>
      <c r="B391" s="4" t="s">
        <v>443</v>
      </c>
      <c r="C391" s="4" t="s">
        <v>15</v>
      </c>
      <c r="D391" s="4" t="s">
        <v>12</v>
      </c>
      <c r="E391" s="4" t="s">
        <v>16</v>
      </c>
      <c r="F391" s="5">
        <v>26560</v>
      </c>
      <c r="G391" s="5">
        <v>23693</v>
      </c>
      <c r="H391" s="6">
        <v>3</v>
      </c>
      <c r="I391" s="5">
        <v>6</v>
      </c>
      <c r="J391" s="5">
        <v>210</v>
      </c>
      <c r="K391" s="5">
        <v>21</v>
      </c>
      <c r="L391" s="5">
        <v>29</v>
      </c>
      <c r="M391" s="5">
        <v>3417</v>
      </c>
      <c r="N391" s="5">
        <v>107</v>
      </c>
      <c r="O391" s="7">
        <v>192</v>
      </c>
      <c r="P391" t="s">
        <v>517</v>
      </c>
    </row>
    <row r="392" spans="1:16" x14ac:dyDescent="0.2">
      <c r="A392" s="4" t="s">
        <v>426</v>
      </c>
      <c r="B392" s="4" t="s">
        <v>444</v>
      </c>
      <c r="C392" s="4" t="s">
        <v>15</v>
      </c>
      <c r="D392" s="4" t="s">
        <v>12</v>
      </c>
      <c r="E392" s="4" t="s">
        <v>16</v>
      </c>
      <c r="F392" s="5">
        <v>25920</v>
      </c>
      <c r="G392" s="5">
        <v>23125</v>
      </c>
      <c r="H392" s="6">
        <v>3</v>
      </c>
      <c r="I392" s="5">
        <v>6</v>
      </c>
      <c r="J392" s="5">
        <v>210</v>
      </c>
      <c r="K392" s="5">
        <v>21</v>
      </c>
      <c r="L392" s="5">
        <v>29</v>
      </c>
      <c r="M392" s="5">
        <v>3362</v>
      </c>
      <c r="N392" s="5">
        <v>107</v>
      </c>
      <c r="O392" s="7">
        <v>189</v>
      </c>
    </row>
    <row r="393" spans="1:16" x14ac:dyDescent="0.2">
      <c r="A393" s="4" t="s">
        <v>426</v>
      </c>
      <c r="B393" s="4" t="s">
        <v>445</v>
      </c>
      <c r="C393" s="4" t="s">
        <v>15</v>
      </c>
      <c r="D393" s="4" t="s">
        <v>12</v>
      </c>
      <c r="E393" s="4" t="s">
        <v>16</v>
      </c>
      <c r="F393" s="5">
        <v>26510</v>
      </c>
      <c r="G393" s="5">
        <v>23908</v>
      </c>
      <c r="H393" s="6">
        <v>3.3</v>
      </c>
      <c r="I393" s="5">
        <v>6</v>
      </c>
      <c r="J393" s="5">
        <v>225</v>
      </c>
      <c r="K393" s="5">
        <v>20</v>
      </c>
      <c r="L393" s="5">
        <v>29</v>
      </c>
      <c r="M393" s="5">
        <v>3439</v>
      </c>
      <c r="N393" s="5">
        <v>107</v>
      </c>
      <c r="O393" s="7">
        <v>193</v>
      </c>
    </row>
    <row r="394" spans="1:16" x14ac:dyDescent="0.2">
      <c r="A394" s="4" t="s">
        <v>426</v>
      </c>
      <c r="B394" s="4" t="s">
        <v>446</v>
      </c>
      <c r="C394" s="4" t="s">
        <v>15</v>
      </c>
      <c r="D394" s="4" t="s">
        <v>12</v>
      </c>
      <c r="E394" s="4" t="s">
        <v>16</v>
      </c>
      <c r="F394" s="5">
        <v>30920</v>
      </c>
      <c r="G394" s="5">
        <v>27271</v>
      </c>
      <c r="H394" s="6">
        <v>3</v>
      </c>
      <c r="I394" s="5">
        <v>6</v>
      </c>
      <c r="J394" s="5">
        <v>210</v>
      </c>
      <c r="K394" s="5">
        <v>21</v>
      </c>
      <c r="L394" s="5">
        <v>29</v>
      </c>
      <c r="M394" s="5">
        <v>3439</v>
      </c>
      <c r="N394" s="5">
        <v>107</v>
      </c>
      <c r="O394" s="7">
        <v>192</v>
      </c>
    </row>
    <row r="395" spans="1:16" x14ac:dyDescent="0.2">
      <c r="A395" s="4" t="s">
        <v>426</v>
      </c>
      <c r="B395" s="4" t="s">
        <v>447</v>
      </c>
      <c r="C395" s="4" t="s">
        <v>15</v>
      </c>
      <c r="D395" s="4" t="s">
        <v>12</v>
      </c>
      <c r="E395" s="4" t="s">
        <v>16</v>
      </c>
      <c r="F395" s="5">
        <v>23495</v>
      </c>
      <c r="G395" s="5">
        <v>21198</v>
      </c>
      <c r="H395" s="6">
        <v>3.3</v>
      </c>
      <c r="I395" s="5">
        <v>6</v>
      </c>
      <c r="J395" s="5">
        <v>230</v>
      </c>
      <c r="K395" s="5">
        <v>19</v>
      </c>
      <c r="L395" s="5">
        <v>27</v>
      </c>
      <c r="M395" s="5">
        <v>4120</v>
      </c>
      <c r="N395" s="5">
        <v>119</v>
      </c>
      <c r="O395" s="7">
        <v>200</v>
      </c>
      <c r="P395" t="s">
        <v>517</v>
      </c>
    </row>
    <row r="396" spans="1:16" x14ac:dyDescent="0.2">
      <c r="A396" s="4" t="s">
        <v>426</v>
      </c>
      <c r="B396" s="4" t="s">
        <v>448</v>
      </c>
      <c r="C396" s="4" t="s">
        <v>15</v>
      </c>
      <c r="D396" s="4" t="s">
        <v>12</v>
      </c>
      <c r="E396" s="4" t="s">
        <v>16</v>
      </c>
      <c r="F396" s="5">
        <v>28800</v>
      </c>
      <c r="G396" s="5">
        <v>25690</v>
      </c>
      <c r="H396" s="6">
        <v>3.3</v>
      </c>
      <c r="I396" s="5">
        <v>6</v>
      </c>
      <c r="J396" s="5">
        <v>230</v>
      </c>
      <c r="K396" s="5">
        <v>19</v>
      </c>
      <c r="L396" s="5">
        <v>27</v>
      </c>
      <c r="M396" s="5">
        <v>4165</v>
      </c>
      <c r="N396" s="5">
        <v>119</v>
      </c>
      <c r="O396" s="7">
        <v>200</v>
      </c>
      <c r="P396" t="s">
        <v>518</v>
      </c>
    </row>
    <row r="397" spans="1:16" x14ac:dyDescent="0.2">
      <c r="A397" s="4" t="s">
        <v>426</v>
      </c>
      <c r="B397" s="4" t="s">
        <v>449</v>
      </c>
      <c r="C397" s="4" t="s">
        <v>22</v>
      </c>
      <c r="D397" s="4" t="s">
        <v>12</v>
      </c>
      <c r="E397" s="4" t="s">
        <v>16</v>
      </c>
      <c r="F397" s="5">
        <v>22570</v>
      </c>
      <c r="G397" s="5">
        <v>20363</v>
      </c>
      <c r="H397" s="6">
        <v>1.8</v>
      </c>
      <c r="I397" s="5">
        <v>4</v>
      </c>
      <c r="J397" s="5">
        <v>180</v>
      </c>
      <c r="K397" s="5">
        <v>24</v>
      </c>
      <c r="L397" s="5">
        <v>33</v>
      </c>
      <c r="M397" s="5">
        <v>2500</v>
      </c>
      <c r="N397" s="5">
        <v>102</v>
      </c>
      <c r="O397" s="7">
        <v>171</v>
      </c>
      <c r="P397" t="s">
        <v>519</v>
      </c>
    </row>
    <row r="398" spans="1:16" x14ac:dyDescent="0.2">
      <c r="A398" s="4" t="s">
        <v>426</v>
      </c>
      <c r="B398" s="4" t="s">
        <v>450</v>
      </c>
      <c r="C398" s="4" t="s">
        <v>22</v>
      </c>
      <c r="D398" s="4" t="s">
        <v>12</v>
      </c>
      <c r="E398" s="4" t="s">
        <v>23</v>
      </c>
      <c r="F398" s="5">
        <v>25130</v>
      </c>
      <c r="G398" s="5">
        <v>22787</v>
      </c>
      <c r="H398" s="6">
        <v>1.8</v>
      </c>
      <c r="I398" s="5">
        <v>4</v>
      </c>
      <c r="J398" s="5">
        <v>138</v>
      </c>
      <c r="K398" s="5">
        <v>26</v>
      </c>
      <c r="L398" s="5">
        <v>32</v>
      </c>
      <c r="M398" s="5">
        <v>2195</v>
      </c>
      <c r="N398" s="5">
        <v>97</v>
      </c>
      <c r="O398" s="7">
        <v>153</v>
      </c>
      <c r="P398" t="s">
        <v>520</v>
      </c>
    </row>
    <row r="399" spans="1:16" x14ac:dyDescent="0.2">
      <c r="A399" s="4" t="s">
        <v>426</v>
      </c>
      <c r="B399" s="4" t="s">
        <v>451</v>
      </c>
      <c r="C399" s="4" t="s">
        <v>87</v>
      </c>
      <c r="D399" s="4" t="s">
        <v>12</v>
      </c>
      <c r="E399" s="4" t="s">
        <v>23</v>
      </c>
      <c r="F399" s="5">
        <v>12800</v>
      </c>
      <c r="G399" s="5">
        <v>11879</v>
      </c>
      <c r="H399" s="6">
        <v>2.4</v>
      </c>
      <c r="I399" s="5">
        <v>4</v>
      </c>
      <c r="J399" s="5">
        <v>142</v>
      </c>
      <c r="K399" s="5">
        <v>22</v>
      </c>
      <c r="L399" s="5">
        <v>27</v>
      </c>
      <c r="M399" s="5">
        <v>2750</v>
      </c>
      <c r="N399" s="5">
        <v>103</v>
      </c>
      <c r="O399" s="7">
        <v>191</v>
      </c>
      <c r="P399" t="s">
        <v>519</v>
      </c>
    </row>
    <row r="400" spans="1:16" x14ac:dyDescent="0.2">
      <c r="A400" s="4" t="s">
        <v>426</v>
      </c>
      <c r="B400" s="4" t="s">
        <v>452</v>
      </c>
      <c r="C400" s="4" t="s">
        <v>87</v>
      </c>
      <c r="D400" s="4" t="s">
        <v>12</v>
      </c>
      <c r="E400" s="4" t="s">
        <v>23</v>
      </c>
      <c r="F400" s="5">
        <v>16495</v>
      </c>
      <c r="G400" s="5">
        <v>14978</v>
      </c>
      <c r="H400" s="6">
        <v>3.4</v>
      </c>
      <c r="I400" s="5">
        <v>6</v>
      </c>
      <c r="J400" s="5">
        <v>190</v>
      </c>
      <c r="K400" s="5">
        <v>16</v>
      </c>
      <c r="L400" s="5">
        <v>18</v>
      </c>
      <c r="M400" s="5">
        <v>3925</v>
      </c>
      <c r="N400" s="5">
        <v>128</v>
      </c>
      <c r="O400" s="7">
        <v>218</v>
      </c>
      <c r="P400" t="s">
        <v>518</v>
      </c>
    </row>
    <row r="401" spans="1:16" x14ac:dyDescent="0.2">
      <c r="A401" s="4" t="s">
        <v>426</v>
      </c>
      <c r="B401" s="4" t="s">
        <v>453</v>
      </c>
      <c r="C401" s="4" t="s">
        <v>87</v>
      </c>
      <c r="D401" s="4" t="s">
        <v>12</v>
      </c>
      <c r="E401" s="4" t="s">
        <v>13</v>
      </c>
      <c r="F401" s="5">
        <v>25935</v>
      </c>
      <c r="G401" s="5">
        <v>23520</v>
      </c>
      <c r="H401" s="6">
        <v>3.4</v>
      </c>
      <c r="I401" s="5">
        <v>6</v>
      </c>
      <c r="J401" s="5">
        <v>190</v>
      </c>
      <c r="K401" s="5">
        <v>14</v>
      </c>
      <c r="L401" s="5">
        <v>17</v>
      </c>
      <c r="M401" s="5">
        <v>4435</v>
      </c>
      <c r="N401" s="5">
        <v>128</v>
      </c>
      <c r="O401" s="7">
        <v>218</v>
      </c>
      <c r="P401" t="s">
        <v>517</v>
      </c>
    </row>
    <row r="402" spans="1:16" x14ac:dyDescent="0.2">
      <c r="A402" s="4" t="s">
        <v>426</v>
      </c>
      <c r="B402" s="4" t="s">
        <v>454</v>
      </c>
      <c r="C402" s="4" t="s">
        <v>44</v>
      </c>
      <c r="D402" s="4" t="s">
        <v>12</v>
      </c>
      <c r="E402" s="4" t="s">
        <v>16</v>
      </c>
      <c r="F402" s="5">
        <v>16695</v>
      </c>
      <c r="G402" s="5">
        <v>15156</v>
      </c>
      <c r="H402" s="6">
        <v>1.8</v>
      </c>
      <c r="I402" s="5">
        <v>4</v>
      </c>
      <c r="J402" s="5">
        <v>130</v>
      </c>
      <c r="K402" s="5">
        <v>29</v>
      </c>
      <c r="L402" s="5">
        <v>36</v>
      </c>
      <c r="M402" s="5">
        <v>2679</v>
      </c>
      <c r="N402" s="5">
        <v>102</v>
      </c>
      <c r="O402" s="7">
        <v>171</v>
      </c>
      <c r="P402" t="s">
        <v>518</v>
      </c>
    </row>
    <row r="403" spans="1:16" x14ac:dyDescent="0.2">
      <c r="A403" s="4" t="s">
        <v>455</v>
      </c>
      <c r="B403" s="4" t="s">
        <v>456</v>
      </c>
      <c r="C403" s="4" t="s">
        <v>11</v>
      </c>
      <c r="D403" s="4" t="s">
        <v>26</v>
      </c>
      <c r="E403" s="4" t="s">
        <v>13</v>
      </c>
      <c r="F403" s="5">
        <v>35515</v>
      </c>
      <c r="G403" s="5">
        <v>32243</v>
      </c>
      <c r="H403" s="6">
        <v>3.2</v>
      </c>
      <c r="I403" s="5">
        <v>6</v>
      </c>
      <c r="J403" s="5">
        <v>220</v>
      </c>
      <c r="K403" s="5">
        <v>15</v>
      </c>
      <c r="L403" s="5">
        <v>20</v>
      </c>
      <c r="M403" s="5">
        <v>5086</v>
      </c>
      <c r="N403" s="5">
        <v>112</v>
      </c>
      <c r="O403" s="7">
        <v>187</v>
      </c>
      <c r="P403" t="s">
        <v>519</v>
      </c>
    </row>
    <row r="404" spans="1:16" x14ac:dyDescent="0.2">
      <c r="A404" s="4" t="s">
        <v>455</v>
      </c>
      <c r="B404" s="4" t="s">
        <v>457</v>
      </c>
      <c r="C404" s="4" t="s">
        <v>15</v>
      </c>
      <c r="D404" s="4" t="s">
        <v>26</v>
      </c>
      <c r="E404" s="4" t="s">
        <v>16</v>
      </c>
      <c r="F404" s="5">
        <v>18715</v>
      </c>
      <c r="G404" s="5">
        <v>17478</v>
      </c>
      <c r="H404" s="6">
        <v>2</v>
      </c>
      <c r="I404" s="5">
        <v>4</v>
      </c>
      <c r="J404" s="5">
        <v>115</v>
      </c>
      <c r="K404" s="5">
        <v>24</v>
      </c>
      <c r="L404" s="5">
        <v>31</v>
      </c>
      <c r="M404" s="5">
        <v>2897</v>
      </c>
      <c r="N404" s="5">
        <v>99</v>
      </c>
      <c r="O404" s="7">
        <v>165</v>
      </c>
      <c r="P404" t="s">
        <v>520</v>
      </c>
    </row>
    <row r="405" spans="1:16" x14ac:dyDescent="0.2">
      <c r="A405" s="4" t="s">
        <v>455</v>
      </c>
      <c r="B405" s="4" t="s">
        <v>458</v>
      </c>
      <c r="C405" s="4" t="s">
        <v>15</v>
      </c>
      <c r="D405" s="4" t="s">
        <v>26</v>
      </c>
      <c r="E405" s="4" t="s">
        <v>16</v>
      </c>
      <c r="F405" s="5">
        <v>19825</v>
      </c>
      <c r="G405" s="5">
        <v>18109</v>
      </c>
      <c r="H405" s="6">
        <v>1.8</v>
      </c>
      <c r="I405" s="5">
        <v>4</v>
      </c>
      <c r="J405" s="5">
        <v>180</v>
      </c>
      <c r="K405" s="5">
        <v>24</v>
      </c>
      <c r="L405" s="5">
        <v>31</v>
      </c>
      <c r="M405" s="5">
        <v>2934</v>
      </c>
      <c r="N405" s="5">
        <v>99</v>
      </c>
      <c r="O405" s="7">
        <v>168</v>
      </c>
      <c r="P405" t="s">
        <v>520</v>
      </c>
    </row>
    <row r="406" spans="1:16" x14ac:dyDescent="0.2">
      <c r="A406" s="4" t="s">
        <v>455</v>
      </c>
      <c r="B406" s="4" t="s">
        <v>459</v>
      </c>
      <c r="C406" s="4" t="s">
        <v>15</v>
      </c>
      <c r="D406" s="4" t="s">
        <v>26</v>
      </c>
      <c r="E406" s="4" t="s">
        <v>16</v>
      </c>
      <c r="F406" s="5">
        <v>21055</v>
      </c>
      <c r="G406" s="5">
        <v>19638</v>
      </c>
      <c r="H406" s="6">
        <v>1.9</v>
      </c>
      <c r="I406" s="5">
        <v>4</v>
      </c>
      <c r="J406" s="5">
        <v>100</v>
      </c>
      <c r="K406" s="5">
        <v>38</v>
      </c>
      <c r="L406" s="5">
        <v>46</v>
      </c>
      <c r="M406" s="5">
        <v>3003</v>
      </c>
      <c r="N406" s="5">
        <v>99</v>
      </c>
      <c r="O406" s="7">
        <v>172</v>
      </c>
      <c r="P406" t="s">
        <v>519</v>
      </c>
    </row>
    <row r="407" spans="1:16" x14ac:dyDescent="0.2">
      <c r="A407" s="4" t="s">
        <v>455</v>
      </c>
      <c r="B407" s="4" t="s">
        <v>460</v>
      </c>
      <c r="C407" s="4" t="s">
        <v>15</v>
      </c>
      <c r="D407" s="4" t="s">
        <v>26</v>
      </c>
      <c r="E407" s="4" t="s">
        <v>16</v>
      </c>
      <c r="F407" s="5">
        <v>21055</v>
      </c>
      <c r="G407" s="5">
        <v>19638</v>
      </c>
      <c r="H407" s="6">
        <v>1.8</v>
      </c>
      <c r="I407" s="5">
        <v>4</v>
      </c>
      <c r="J407" s="5">
        <v>150</v>
      </c>
      <c r="K407" s="5">
        <v>24</v>
      </c>
      <c r="L407" s="5">
        <v>31</v>
      </c>
      <c r="M407" s="5">
        <v>2820</v>
      </c>
      <c r="N407" s="5">
        <v>99</v>
      </c>
      <c r="O407" s="7">
        <v>161</v>
      </c>
      <c r="P407" t="s">
        <v>520</v>
      </c>
    </row>
    <row r="408" spans="1:16" x14ac:dyDescent="0.2">
      <c r="A408" s="4" t="s">
        <v>455</v>
      </c>
      <c r="B408" s="4" t="s">
        <v>461</v>
      </c>
      <c r="C408" s="4" t="s">
        <v>15</v>
      </c>
      <c r="D408" s="4" t="s">
        <v>26</v>
      </c>
      <c r="E408" s="4" t="s">
        <v>16</v>
      </c>
      <c r="F408" s="5">
        <v>23785</v>
      </c>
      <c r="G408" s="5">
        <v>21686</v>
      </c>
      <c r="H408" s="6">
        <v>2.8</v>
      </c>
      <c r="I408" s="5">
        <v>6</v>
      </c>
      <c r="J408" s="5">
        <v>200</v>
      </c>
      <c r="K408" s="5">
        <v>21</v>
      </c>
      <c r="L408" s="5">
        <v>30</v>
      </c>
      <c r="M408" s="5">
        <v>3179</v>
      </c>
      <c r="N408" s="5">
        <v>99</v>
      </c>
      <c r="O408" s="7">
        <v>172</v>
      </c>
      <c r="P408" t="s">
        <v>519</v>
      </c>
    </row>
    <row r="409" spans="1:16" x14ac:dyDescent="0.2">
      <c r="A409" s="4" t="s">
        <v>455</v>
      </c>
      <c r="B409" s="4" t="s">
        <v>462</v>
      </c>
      <c r="C409" s="4" t="s">
        <v>15</v>
      </c>
      <c r="D409" s="4" t="s">
        <v>26</v>
      </c>
      <c r="E409" s="4" t="s">
        <v>16</v>
      </c>
      <c r="F409" s="5">
        <v>23215</v>
      </c>
      <c r="G409" s="5">
        <v>21689</v>
      </c>
      <c r="H409" s="6">
        <v>2</v>
      </c>
      <c r="I409" s="5">
        <v>4</v>
      </c>
      <c r="J409" s="5">
        <v>115</v>
      </c>
      <c r="K409" s="5">
        <v>24</v>
      </c>
      <c r="L409" s="5">
        <v>30</v>
      </c>
      <c r="M409" s="5">
        <v>3082</v>
      </c>
      <c r="N409" s="5">
        <v>99</v>
      </c>
      <c r="O409" s="7">
        <v>161</v>
      </c>
    </row>
    <row r="410" spans="1:16" x14ac:dyDescent="0.2">
      <c r="A410" s="4" t="s">
        <v>455</v>
      </c>
      <c r="B410" s="4" t="s">
        <v>463</v>
      </c>
      <c r="C410" s="4" t="s">
        <v>15</v>
      </c>
      <c r="D410" s="4" t="s">
        <v>26</v>
      </c>
      <c r="E410" s="4" t="s">
        <v>16</v>
      </c>
      <c r="F410" s="5">
        <v>23955</v>
      </c>
      <c r="G410" s="5">
        <v>21898</v>
      </c>
      <c r="H410" s="6">
        <v>1.8</v>
      </c>
      <c r="I410" s="5">
        <v>4</v>
      </c>
      <c r="J410" s="5">
        <v>170</v>
      </c>
      <c r="K410" s="5">
        <v>22</v>
      </c>
      <c r="L410" s="5">
        <v>31</v>
      </c>
      <c r="M410" s="5">
        <v>3241</v>
      </c>
      <c r="N410" s="5">
        <v>106</v>
      </c>
      <c r="O410" s="7">
        <v>185</v>
      </c>
    </row>
    <row r="411" spans="1:16" x14ac:dyDescent="0.2">
      <c r="A411" s="4" t="s">
        <v>455</v>
      </c>
      <c r="B411" s="4" t="s">
        <v>464</v>
      </c>
      <c r="C411" s="4" t="s">
        <v>15</v>
      </c>
      <c r="D411" s="4" t="s">
        <v>26</v>
      </c>
      <c r="E411" s="4" t="s">
        <v>16</v>
      </c>
      <c r="F411" s="5">
        <v>33180</v>
      </c>
      <c r="G411" s="5">
        <v>30583</v>
      </c>
      <c r="H411" s="6">
        <v>2.8</v>
      </c>
      <c r="I411" s="5">
        <v>6</v>
      </c>
      <c r="J411" s="5">
        <v>190</v>
      </c>
      <c r="K411" s="5">
        <v>19</v>
      </c>
      <c r="L411" s="5">
        <v>26</v>
      </c>
      <c r="M411" s="5">
        <v>3721</v>
      </c>
      <c r="N411" s="5">
        <v>106</v>
      </c>
      <c r="O411" s="7">
        <v>185</v>
      </c>
      <c r="P411" t="s">
        <v>519</v>
      </c>
    </row>
    <row r="412" spans="1:16" x14ac:dyDescent="0.2">
      <c r="A412" s="4" t="s">
        <v>455</v>
      </c>
      <c r="B412" s="4" t="s">
        <v>465</v>
      </c>
      <c r="C412" s="4" t="s">
        <v>15</v>
      </c>
      <c r="D412" s="4" t="s">
        <v>26</v>
      </c>
      <c r="E412" s="4" t="s">
        <v>16</v>
      </c>
      <c r="F412" s="5">
        <v>39235</v>
      </c>
      <c r="G412" s="5">
        <v>36052</v>
      </c>
      <c r="H412" s="6">
        <v>4</v>
      </c>
      <c r="I412" s="5">
        <v>8</v>
      </c>
      <c r="J412" s="5">
        <v>270</v>
      </c>
      <c r="K412" s="5">
        <v>18</v>
      </c>
      <c r="L412" s="5">
        <v>25</v>
      </c>
      <c r="M412" s="5">
        <v>3953</v>
      </c>
      <c r="N412" s="5">
        <v>106</v>
      </c>
      <c r="O412" s="7">
        <v>185</v>
      </c>
      <c r="P412" t="s">
        <v>518</v>
      </c>
    </row>
    <row r="413" spans="1:16" x14ac:dyDescent="0.2">
      <c r="A413" s="4" t="s">
        <v>455</v>
      </c>
      <c r="B413" s="4" t="s">
        <v>466</v>
      </c>
      <c r="C413" s="4" t="s">
        <v>15</v>
      </c>
      <c r="D413" s="4" t="s">
        <v>26</v>
      </c>
      <c r="E413" s="4" t="s">
        <v>16</v>
      </c>
      <c r="F413" s="5">
        <v>65000</v>
      </c>
      <c r="G413" s="5">
        <v>59912</v>
      </c>
      <c r="H413" s="6">
        <v>4.2</v>
      </c>
      <c r="I413" s="5">
        <v>8</v>
      </c>
      <c r="J413" s="5">
        <v>335</v>
      </c>
      <c r="K413" s="5">
        <v>16</v>
      </c>
      <c r="L413" s="5">
        <v>22</v>
      </c>
      <c r="M413" s="5">
        <v>5194</v>
      </c>
      <c r="N413" s="5">
        <v>118</v>
      </c>
      <c r="O413" s="7">
        <v>204</v>
      </c>
      <c r="P413" t="s">
        <v>517</v>
      </c>
    </row>
    <row r="414" spans="1:16" x14ac:dyDescent="0.2">
      <c r="A414" s="4" t="s">
        <v>455</v>
      </c>
      <c r="B414" s="4" t="s">
        <v>467</v>
      </c>
      <c r="C414" s="4" t="s">
        <v>15</v>
      </c>
      <c r="D414" s="4" t="s">
        <v>26</v>
      </c>
      <c r="E414" s="4" t="s">
        <v>16</v>
      </c>
      <c r="F414" s="5">
        <v>75000</v>
      </c>
      <c r="G414" s="5">
        <v>69130</v>
      </c>
      <c r="H414" s="6">
        <v>6</v>
      </c>
      <c r="I414" s="5">
        <v>12</v>
      </c>
      <c r="J414" s="5">
        <v>420</v>
      </c>
      <c r="K414" s="5">
        <v>12</v>
      </c>
      <c r="L414" s="5">
        <v>19</v>
      </c>
      <c r="M414" s="5">
        <v>5399</v>
      </c>
      <c r="N414" s="5">
        <v>118</v>
      </c>
      <c r="O414" s="7">
        <v>204</v>
      </c>
      <c r="P414" t="s">
        <v>518</v>
      </c>
    </row>
    <row r="415" spans="1:16" x14ac:dyDescent="0.2">
      <c r="A415" s="4" t="s">
        <v>455</v>
      </c>
      <c r="B415" s="4" t="s">
        <v>468</v>
      </c>
      <c r="C415" s="4" t="s">
        <v>44</v>
      </c>
      <c r="D415" s="4" t="s">
        <v>26</v>
      </c>
      <c r="E415" s="4" t="s">
        <v>16</v>
      </c>
      <c r="F415" s="5">
        <v>19005</v>
      </c>
      <c r="G415" s="5">
        <v>17427</v>
      </c>
      <c r="H415" s="6">
        <v>2</v>
      </c>
      <c r="I415" s="5">
        <v>4</v>
      </c>
      <c r="J415" s="5">
        <v>115</v>
      </c>
      <c r="K415" s="5">
        <v>24</v>
      </c>
      <c r="L415" s="5">
        <v>30</v>
      </c>
      <c r="M415" s="5">
        <v>3034</v>
      </c>
      <c r="N415" s="5">
        <v>99</v>
      </c>
      <c r="O415" s="7">
        <v>174</v>
      </c>
      <c r="P415" t="s">
        <v>517</v>
      </c>
    </row>
    <row r="416" spans="1:16" x14ac:dyDescent="0.2">
      <c r="A416" s="4" t="s">
        <v>455</v>
      </c>
      <c r="B416" s="4" t="s">
        <v>469</v>
      </c>
      <c r="C416" s="4" t="s">
        <v>44</v>
      </c>
      <c r="D416" s="4" t="s">
        <v>26</v>
      </c>
      <c r="E416" s="4" t="s">
        <v>16</v>
      </c>
      <c r="F416" s="5">
        <v>24955</v>
      </c>
      <c r="G416" s="5">
        <v>22801</v>
      </c>
      <c r="H416" s="6">
        <v>1.8</v>
      </c>
      <c r="I416" s="5">
        <v>4</v>
      </c>
      <c r="J416" s="5">
        <v>170</v>
      </c>
      <c r="K416" s="5">
        <v>22</v>
      </c>
      <c r="L416" s="5">
        <v>31</v>
      </c>
      <c r="M416" s="5">
        <v>3338</v>
      </c>
      <c r="N416" s="5">
        <v>106</v>
      </c>
      <c r="O416" s="7">
        <v>184</v>
      </c>
      <c r="P416" t="s">
        <v>518</v>
      </c>
    </row>
    <row r="417" spans="1:16" x14ac:dyDescent="0.2">
      <c r="A417" s="4" t="s">
        <v>455</v>
      </c>
      <c r="B417" s="4" t="s">
        <v>470</v>
      </c>
      <c r="C417" s="4" t="s">
        <v>44</v>
      </c>
      <c r="D417" s="4" t="s">
        <v>26</v>
      </c>
      <c r="E417" s="4" t="s">
        <v>16</v>
      </c>
      <c r="F417" s="5">
        <v>40235</v>
      </c>
      <c r="G417" s="5">
        <v>36956</v>
      </c>
      <c r="H417" s="6">
        <v>4</v>
      </c>
      <c r="I417" s="5">
        <v>8</v>
      </c>
      <c r="J417" s="5">
        <v>270</v>
      </c>
      <c r="K417" s="5">
        <v>18</v>
      </c>
      <c r="L417" s="5">
        <v>25</v>
      </c>
      <c r="M417" s="5">
        <v>4067</v>
      </c>
      <c r="N417" s="5">
        <v>106</v>
      </c>
      <c r="O417" s="7">
        <v>184</v>
      </c>
      <c r="P417" t="s">
        <v>517</v>
      </c>
    </row>
    <row r="418" spans="1:16" x14ac:dyDescent="0.2">
      <c r="A418" s="4" t="s">
        <v>471</v>
      </c>
      <c r="B418" s="4" t="s">
        <v>472</v>
      </c>
      <c r="C418" s="4" t="s">
        <v>11</v>
      </c>
      <c r="D418" s="4" t="s">
        <v>26</v>
      </c>
      <c r="E418" s="4" t="s">
        <v>13</v>
      </c>
      <c r="F418" s="5">
        <v>41250</v>
      </c>
      <c r="G418" s="5">
        <v>38851</v>
      </c>
      <c r="H418" s="6">
        <v>2.9</v>
      </c>
      <c r="I418" s="5">
        <v>6</v>
      </c>
      <c r="J418" s="5">
        <v>268</v>
      </c>
      <c r="K418" s="5">
        <v>15</v>
      </c>
      <c r="L418" s="5">
        <v>20</v>
      </c>
      <c r="M418" s="5">
        <v>4638</v>
      </c>
      <c r="N418" s="5">
        <v>113</v>
      </c>
      <c r="O418" s="7">
        <v>189</v>
      </c>
      <c r="P418" t="s">
        <v>518</v>
      </c>
    </row>
    <row r="419" spans="1:16" x14ac:dyDescent="0.2">
      <c r="A419" s="4" t="s">
        <v>471</v>
      </c>
      <c r="B419" s="4" t="s">
        <v>473</v>
      </c>
      <c r="C419" s="4" t="s">
        <v>15</v>
      </c>
      <c r="D419" s="4" t="s">
        <v>26</v>
      </c>
      <c r="E419" s="4" t="s">
        <v>16</v>
      </c>
      <c r="F419" s="5">
        <v>25135</v>
      </c>
      <c r="G419" s="5">
        <v>23701</v>
      </c>
      <c r="H419" s="6">
        <v>1.9</v>
      </c>
      <c r="I419" s="5">
        <v>4</v>
      </c>
      <c r="J419" s="5">
        <v>170</v>
      </c>
      <c r="K419" s="5">
        <v>22</v>
      </c>
      <c r="L419" s="5">
        <v>29</v>
      </c>
      <c r="M419" s="5">
        <v>2767</v>
      </c>
      <c r="N419" s="5">
        <v>101</v>
      </c>
      <c r="O419" s="7">
        <v>178</v>
      </c>
      <c r="P419" t="s">
        <v>519</v>
      </c>
    </row>
    <row r="420" spans="1:16" x14ac:dyDescent="0.2">
      <c r="A420" s="4" t="s">
        <v>471</v>
      </c>
      <c r="B420" s="4" t="s">
        <v>474</v>
      </c>
      <c r="C420" s="4" t="s">
        <v>15</v>
      </c>
      <c r="D420" s="4" t="s">
        <v>26</v>
      </c>
      <c r="E420" s="4" t="s">
        <v>13</v>
      </c>
      <c r="F420" s="5">
        <v>31745</v>
      </c>
      <c r="G420" s="5">
        <v>29916</v>
      </c>
      <c r="H420" s="6">
        <v>2.5</v>
      </c>
      <c r="I420" s="5">
        <v>5</v>
      </c>
      <c r="J420" s="5">
        <v>208</v>
      </c>
      <c r="K420" s="5">
        <v>20</v>
      </c>
      <c r="L420" s="5">
        <v>27</v>
      </c>
      <c r="M420" s="5">
        <v>3903</v>
      </c>
      <c r="N420" s="5">
        <v>107</v>
      </c>
      <c r="O420" s="7">
        <v>180</v>
      </c>
      <c r="P420" t="s">
        <v>520</v>
      </c>
    </row>
    <row r="421" spans="1:16" x14ac:dyDescent="0.2">
      <c r="A421" s="4" t="s">
        <v>471</v>
      </c>
      <c r="B421" s="4" t="s">
        <v>475</v>
      </c>
      <c r="C421" s="4" t="s">
        <v>15</v>
      </c>
      <c r="D421" s="4" t="s">
        <v>26</v>
      </c>
      <c r="E421" s="4" t="s">
        <v>16</v>
      </c>
      <c r="F421" s="5">
        <v>34845</v>
      </c>
      <c r="G421" s="5">
        <v>32902</v>
      </c>
      <c r="H421" s="6">
        <v>2.2999999999999998</v>
      </c>
      <c r="I421" s="5">
        <v>5</v>
      </c>
      <c r="J421" s="5">
        <v>247</v>
      </c>
      <c r="K421" s="5">
        <v>20</v>
      </c>
      <c r="L421" s="5">
        <v>28</v>
      </c>
      <c r="M421" s="5">
        <v>3766</v>
      </c>
      <c r="N421" s="5">
        <v>107</v>
      </c>
      <c r="O421" s="7">
        <v>180</v>
      </c>
      <c r="P421" t="s">
        <v>520</v>
      </c>
    </row>
    <row r="422" spans="1:16" x14ac:dyDescent="0.2">
      <c r="A422" s="4" t="s">
        <v>471</v>
      </c>
      <c r="B422" s="4" t="s">
        <v>476</v>
      </c>
      <c r="C422" s="4" t="s">
        <v>15</v>
      </c>
      <c r="D422" s="4" t="s">
        <v>26</v>
      </c>
      <c r="E422" s="4" t="s">
        <v>13</v>
      </c>
      <c r="F422" s="5">
        <v>37560</v>
      </c>
      <c r="G422" s="5">
        <v>35382</v>
      </c>
      <c r="H422" s="6">
        <v>2.5</v>
      </c>
      <c r="I422" s="5">
        <v>5</v>
      </c>
      <c r="J422" s="5">
        <v>300</v>
      </c>
      <c r="K422" s="5">
        <v>18</v>
      </c>
      <c r="L422" s="5">
        <v>25</v>
      </c>
      <c r="M422" s="5">
        <v>3571</v>
      </c>
      <c r="N422" s="5">
        <v>107</v>
      </c>
      <c r="O422" s="7">
        <v>181</v>
      </c>
      <c r="P422" t="s">
        <v>519</v>
      </c>
    </row>
    <row r="423" spans="1:16" x14ac:dyDescent="0.2">
      <c r="A423" s="4" t="s">
        <v>471</v>
      </c>
      <c r="B423" s="4" t="s">
        <v>477</v>
      </c>
      <c r="C423" s="4" t="s">
        <v>15</v>
      </c>
      <c r="D423" s="4" t="s">
        <v>26</v>
      </c>
      <c r="E423" s="4" t="s">
        <v>16</v>
      </c>
      <c r="F423" s="5">
        <v>37730</v>
      </c>
      <c r="G423" s="5">
        <v>35542</v>
      </c>
      <c r="H423" s="6">
        <v>2.9</v>
      </c>
      <c r="I423" s="5">
        <v>6</v>
      </c>
      <c r="J423" s="5">
        <v>208</v>
      </c>
      <c r="K423" s="5">
        <v>20</v>
      </c>
      <c r="L423" s="5">
        <v>28</v>
      </c>
      <c r="M423" s="5">
        <v>3576</v>
      </c>
      <c r="N423" s="5">
        <v>110</v>
      </c>
      <c r="O423" s="7">
        <v>190</v>
      </c>
      <c r="P423" t="s">
        <v>520</v>
      </c>
    </row>
    <row r="424" spans="1:16" x14ac:dyDescent="0.2">
      <c r="A424" s="4" t="s">
        <v>471</v>
      </c>
      <c r="B424" s="4" t="s">
        <v>478</v>
      </c>
      <c r="C424" s="4" t="s">
        <v>15</v>
      </c>
      <c r="D424" s="4" t="s">
        <v>26</v>
      </c>
      <c r="E424" s="4" t="s">
        <v>13</v>
      </c>
      <c r="F424" s="5">
        <v>37885</v>
      </c>
      <c r="G424" s="5">
        <v>35688</v>
      </c>
      <c r="H424" s="6">
        <v>2.5</v>
      </c>
      <c r="I424" s="5">
        <v>5</v>
      </c>
      <c r="J424" s="5">
        <v>194</v>
      </c>
      <c r="K424" s="5">
        <v>20</v>
      </c>
      <c r="L424" s="5">
        <v>27</v>
      </c>
      <c r="M424" s="5">
        <v>3691</v>
      </c>
      <c r="N424" s="5">
        <v>110</v>
      </c>
      <c r="O424" s="7">
        <v>190</v>
      </c>
      <c r="P424" t="s">
        <v>519</v>
      </c>
    </row>
    <row r="425" spans="1:16" x14ac:dyDescent="0.2">
      <c r="A425" s="4" t="s">
        <v>471</v>
      </c>
      <c r="B425" s="4" t="s">
        <v>479</v>
      </c>
      <c r="C425" s="4" t="s">
        <v>15</v>
      </c>
      <c r="D425" s="4" t="s">
        <v>26</v>
      </c>
      <c r="E425" s="4" t="s">
        <v>16</v>
      </c>
      <c r="F425" s="5">
        <v>40565</v>
      </c>
      <c r="G425" s="5">
        <v>38203</v>
      </c>
      <c r="H425" s="6">
        <v>2.4</v>
      </c>
      <c r="I425" s="5">
        <v>5</v>
      </c>
      <c r="J425" s="5">
        <v>197</v>
      </c>
      <c r="K425" s="5">
        <v>21</v>
      </c>
      <c r="L425" s="5">
        <v>28</v>
      </c>
      <c r="M425" s="5">
        <v>3450</v>
      </c>
      <c r="N425" s="5">
        <v>105</v>
      </c>
      <c r="O425" s="7">
        <v>186</v>
      </c>
      <c r="P425" t="s">
        <v>517</v>
      </c>
    </row>
    <row r="426" spans="1:16" x14ac:dyDescent="0.2">
      <c r="A426" s="4" t="s">
        <v>471</v>
      </c>
      <c r="B426" s="4" t="s">
        <v>480</v>
      </c>
      <c r="C426" s="4" t="s">
        <v>15</v>
      </c>
      <c r="D426" s="4" t="s">
        <v>26</v>
      </c>
      <c r="E426" s="4" t="s">
        <v>16</v>
      </c>
      <c r="F426" s="5">
        <v>42565</v>
      </c>
      <c r="G426" s="5">
        <v>40083</v>
      </c>
      <c r="H426" s="6">
        <v>2.2999999999999998</v>
      </c>
      <c r="I426" s="5">
        <v>5</v>
      </c>
      <c r="J426" s="5">
        <v>242</v>
      </c>
      <c r="K426" s="5">
        <v>20</v>
      </c>
      <c r="L426" s="5">
        <v>26</v>
      </c>
      <c r="M426" s="5">
        <v>3450</v>
      </c>
      <c r="N426" s="5">
        <v>105</v>
      </c>
      <c r="O426" s="7">
        <v>186</v>
      </c>
      <c r="P426" t="s">
        <v>518</v>
      </c>
    </row>
    <row r="427" spans="1:16" x14ac:dyDescent="0.2">
      <c r="A427" s="4" t="s">
        <v>471</v>
      </c>
      <c r="B427" s="4" t="s">
        <v>481</v>
      </c>
      <c r="C427" s="4" t="s">
        <v>15</v>
      </c>
      <c r="D427" s="4" t="s">
        <v>26</v>
      </c>
      <c r="E427" s="4" t="s">
        <v>16</v>
      </c>
      <c r="F427" s="5">
        <v>45210</v>
      </c>
      <c r="G427" s="5">
        <v>42573</v>
      </c>
      <c r="H427" s="6">
        <v>2.9</v>
      </c>
      <c r="I427" s="5">
        <v>6</v>
      </c>
      <c r="J427" s="5">
        <v>268</v>
      </c>
      <c r="K427" s="5">
        <v>19</v>
      </c>
      <c r="L427" s="5">
        <v>26</v>
      </c>
      <c r="M427" s="5">
        <v>3653</v>
      </c>
      <c r="N427" s="5">
        <v>110</v>
      </c>
      <c r="O427" s="7">
        <v>190</v>
      </c>
      <c r="P427" t="s">
        <v>519</v>
      </c>
    </row>
    <row r="428" spans="1:16" x14ac:dyDescent="0.2">
      <c r="A428" s="4" t="s">
        <v>471</v>
      </c>
      <c r="B428" s="4" t="s">
        <v>482</v>
      </c>
      <c r="C428" s="4" t="s">
        <v>44</v>
      </c>
      <c r="D428" s="4" t="s">
        <v>26</v>
      </c>
      <c r="E428" s="4" t="s">
        <v>16</v>
      </c>
      <c r="F428" s="5">
        <v>26135</v>
      </c>
      <c r="G428" s="5">
        <v>24641</v>
      </c>
      <c r="H428" s="6">
        <v>1.9</v>
      </c>
      <c r="I428" s="5">
        <v>4</v>
      </c>
      <c r="J428" s="5">
        <v>170</v>
      </c>
      <c r="K428" s="5">
        <v>22</v>
      </c>
      <c r="L428" s="5">
        <v>29</v>
      </c>
      <c r="M428" s="5">
        <v>2822</v>
      </c>
      <c r="N428" s="5">
        <v>101</v>
      </c>
      <c r="O428" s="7">
        <v>180</v>
      </c>
      <c r="P428" t="s">
        <v>520</v>
      </c>
    </row>
    <row r="429" spans="1:16" x14ac:dyDescent="0.2">
      <c r="A429" s="4" t="s">
        <v>471</v>
      </c>
      <c r="B429" s="4" t="s">
        <v>483</v>
      </c>
      <c r="C429" s="4" t="s">
        <v>44</v>
      </c>
      <c r="D429" s="4" t="s">
        <v>26</v>
      </c>
      <c r="E429" s="4" t="s">
        <v>13</v>
      </c>
      <c r="F429" s="5">
        <v>35145</v>
      </c>
      <c r="G429" s="5">
        <v>33112</v>
      </c>
      <c r="H429" s="6">
        <v>2.5</v>
      </c>
      <c r="I429" s="5">
        <v>5</v>
      </c>
      <c r="J429" s="5">
        <v>208</v>
      </c>
      <c r="K429" s="5">
        <v>20</v>
      </c>
      <c r="L429" s="5">
        <v>27</v>
      </c>
      <c r="M429" s="5">
        <v>3823</v>
      </c>
      <c r="N429" s="5">
        <v>109</v>
      </c>
      <c r="O429" s="7">
        <v>186</v>
      </c>
      <c r="P429" t="s">
        <v>519</v>
      </c>
    </row>
    <row r="466" spans="1:1" x14ac:dyDescent="0.2">
      <c r="A466" s="21"/>
    </row>
  </sheetData>
  <autoFilter ref="A1:O456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sqref="A1:P34"/>
    </sheetView>
  </sheetViews>
  <sheetFormatPr defaultRowHeight="15" x14ac:dyDescent="0.2"/>
  <sheetData>
    <row r="1" spans="1:15" x14ac:dyDescent="0.2">
      <c r="A1" s="8"/>
      <c r="B1" s="8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24" t="s">
        <v>484</v>
      </c>
      <c r="B2" s="25"/>
      <c r="F2" s="10">
        <f>AVERAGE(ARABALAR!F2:F429)</f>
        <v>32774.855140186919</v>
      </c>
      <c r="G2" s="10">
        <f>AVERAGE(ARABALAR!G2:G429)</f>
        <v>30014.700934579439</v>
      </c>
      <c r="H2" s="10">
        <f>AVERAGE(ARABALAR!H2:H429)</f>
        <v>3.1967289719626195</v>
      </c>
      <c r="I2" s="10">
        <f>AVERAGE(ARABALAR!I2:I429)</f>
        <v>5.7943925233644862</v>
      </c>
      <c r="J2" s="10">
        <f>AVERAGE(ARABALAR!J2:J429)</f>
        <v>215.88551401869159</v>
      </c>
      <c r="K2" s="10">
        <f>AVERAGE(ARABALAR!K2:K429)</f>
        <v>20.060747663551403</v>
      </c>
      <c r="L2" s="10">
        <f>AVERAGE(ARABALAR!L2:L429)</f>
        <v>26.843457943925234</v>
      </c>
      <c r="M2" s="10">
        <f>AVERAGE(ARABALAR!M2:M429)</f>
        <v>3577.9532710280373</v>
      </c>
      <c r="N2" s="10">
        <f>AVERAGE(ARABALAR!N2:N429)</f>
        <v>108.15420560747664</v>
      </c>
      <c r="O2" s="10">
        <f>AVERAGE(ARABALAR!O2:O429)</f>
        <v>186.36214953271028</v>
      </c>
    </row>
    <row r="3" spans="1:15" x14ac:dyDescent="0.2">
      <c r="A3" s="22" t="s">
        <v>485</v>
      </c>
      <c r="B3" s="23"/>
      <c r="F3" s="11">
        <f>GEOMEAN(ARABALAR!F2:F20)</f>
        <v>39298.702963817639</v>
      </c>
      <c r="G3" s="11">
        <f>GEOMEAN(ARABALAR!G2:G20)</f>
        <v>35610.843428908513</v>
      </c>
      <c r="H3" s="11">
        <f>GEOMEAN(ARABALAR!H2:H20)</f>
        <v>2.923444234468259</v>
      </c>
      <c r="I3" s="11">
        <f>GEOMEAN(ARABALAR!I2:I20)</f>
        <v>5.6784636798809034</v>
      </c>
      <c r="J3" s="11">
        <f>GEOMEAN(ARABALAR!J2:J20)</f>
        <v>230.05674583795681</v>
      </c>
      <c r="K3" s="11">
        <f>GEOMEAN(ARABALAR!K2:K20)</f>
        <v>19.042566320970121</v>
      </c>
      <c r="L3" s="11">
        <f>GEOMEAN(ARABALAR!L2:L20)</f>
        <v>26.203426596027626</v>
      </c>
      <c r="M3" s="11">
        <f>GEOMEAN(ARABALAR!M2:M20)</f>
        <v>3664.2812665481597</v>
      </c>
      <c r="N3" s="11">
        <f>GEOMEAN(ARABALAR!N2:N20)</f>
        <v>107.14970469516993</v>
      </c>
      <c r="O3" s="11">
        <f>GEOMEAN(ARABALAR!O2:O20)</f>
        <v>185.43756916834241</v>
      </c>
    </row>
    <row r="4" spans="1:15" x14ac:dyDescent="0.2">
      <c r="A4" s="22" t="s">
        <v>486</v>
      </c>
      <c r="B4" s="23"/>
      <c r="F4" s="10">
        <f>HARMEAN(ARABALAR!F2:F429)</f>
        <v>25837.784636692792</v>
      </c>
      <c r="G4" s="10">
        <f>HARMEAN(ARABALAR!G2:G20)</f>
        <v>34098.108604602399</v>
      </c>
      <c r="H4" s="10">
        <f>HARMEAN(ARABALAR!H2:H20)</f>
        <v>2.8401384083044992</v>
      </c>
      <c r="I4" s="10">
        <f>HARMEAN(ARABALAR!I2:I20)</f>
        <v>5.5609756097560989</v>
      </c>
      <c r="J4" s="10">
        <f>HARMEAN(ARABALAR!J2:J20)</f>
        <v>226.83593941018285</v>
      </c>
      <c r="K4" s="10">
        <f>HARMEAN(ARABALAR!K2:K20)</f>
        <v>18.933637622145113</v>
      </c>
      <c r="L4" s="10">
        <f>HARMEAN(ARABALAR!L2:L20)</f>
        <v>26.095029888550883</v>
      </c>
      <c r="M4" s="10">
        <f>HARMEAN(ARABALAR!M2:M20)</f>
        <v>3641.0952125957865</v>
      </c>
      <c r="N4" s="10">
        <f>HARMEAN(ARABALAR!N2:N20)</f>
        <v>107.03983952045594</v>
      </c>
      <c r="O4" s="10">
        <f>HARMEAN(ARABALAR!O2:O20)</f>
        <v>185.24560168985545</v>
      </c>
    </row>
    <row r="5" spans="1:15" x14ac:dyDescent="0.2">
      <c r="A5" s="24" t="s">
        <v>487</v>
      </c>
      <c r="B5" s="25"/>
      <c r="F5" s="10">
        <f>MEDIAN(ARABALAR!F2:F429)</f>
        <v>27635</v>
      </c>
      <c r="G5">
        <f>MEDIAN(ARABALAR!G2:G429)</f>
        <v>25294.5</v>
      </c>
      <c r="H5">
        <f>MEDIAN(ARABALAR!H2:H429)</f>
        <v>3</v>
      </c>
      <c r="I5">
        <f>MEDIAN(ARABALAR!I2:I429)</f>
        <v>6</v>
      </c>
      <c r="J5">
        <f>MEDIAN(ARABALAR!J2:J429)</f>
        <v>210</v>
      </c>
      <c r="K5">
        <f>MEDIAN(ARABALAR!K2:K429)</f>
        <v>19</v>
      </c>
      <c r="L5">
        <f>MEDIAN(ARABALAR!L2:L429)</f>
        <v>26</v>
      </c>
      <c r="M5">
        <f>MEDIAN(ARABALAR!M2:M429)</f>
        <v>3474.5</v>
      </c>
      <c r="N5">
        <f>MEDIAN(ARABALAR!N2:N429)</f>
        <v>107</v>
      </c>
      <c r="O5">
        <f>MEDIAN(ARABALAR!O2:O429)</f>
        <v>187</v>
      </c>
    </row>
    <row r="6" spans="1:15" x14ac:dyDescent="0.2">
      <c r="A6" s="24" t="s">
        <v>488</v>
      </c>
      <c r="B6" s="25"/>
      <c r="F6" s="10">
        <f>MODE(ARABALAR!F2:F429)</f>
        <v>35940</v>
      </c>
      <c r="G6" s="10">
        <f>MODE(ARABALAR!G2:G429)</f>
        <v>14207</v>
      </c>
      <c r="H6" s="10">
        <f>MODE(ARABALAR!H2:H429)</f>
        <v>3</v>
      </c>
      <c r="I6" s="10">
        <f>MODE(ARABALAR!I2:I429)</f>
        <v>6</v>
      </c>
      <c r="J6" s="10">
        <f>MODE(ARABALAR!J2:J429)</f>
        <v>200</v>
      </c>
      <c r="K6" s="10">
        <f>MODE(ARABALAR!K2:K429)</f>
        <v>18</v>
      </c>
      <c r="L6" s="10">
        <f>MODE(ARABALAR!L2:L429)</f>
        <v>26</v>
      </c>
      <c r="M6" s="10">
        <f>MODE(ARABALAR!M2:M429)</f>
        <v>3285</v>
      </c>
      <c r="N6" s="10">
        <f>MODE(ARABALAR!N2:N429)</f>
        <v>107</v>
      </c>
      <c r="O6" s="10">
        <f>MODE(ARABALAR!O2:O429)</f>
        <v>178</v>
      </c>
    </row>
    <row r="7" spans="1:15" x14ac:dyDescent="0.2">
      <c r="A7" s="22" t="s">
        <v>489</v>
      </c>
      <c r="B7" s="23"/>
      <c r="F7">
        <f>QUARTILE(ARABALAR!F2:F429,1)</f>
        <v>20334.25</v>
      </c>
      <c r="G7">
        <f>QUARTILE(ARABALAR!G2:G429,1)</f>
        <v>18866</v>
      </c>
      <c r="H7">
        <f>QUARTILE(ARABALAR!H2:H429,1)</f>
        <v>2.375</v>
      </c>
      <c r="I7">
        <f>QUARTILE(ARABALAR!I2:I429,1)</f>
        <v>4</v>
      </c>
      <c r="J7">
        <f>QUARTILE(ARABALAR!J2:J429,1)</f>
        <v>165</v>
      </c>
      <c r="K7">
        <f>QUARTILE(ARABALAR!K2:K429,1)</f>
        <v>17</v>
      </c>
      <c r="L7">
        <f>QUARTILE(ARABALAR!L2:L429,1)</f>
        <v>24</v>
      </c>
      <c r="M7">
        <f>QUARTILE(ARABALAR!M2:M429,1)</f>
        <v>3104</v>
      </c>
      <c r="N7">
        <f>QUARTILE(ARABALAR!N2:N429,1)</f>
        <v>103</v>
      </c>
      <c r="O7">
        <f>QUARTILE(ARABALAR!O2:O429,1)</f>
        <v>178</v>
      </c>
    </row>
    <row r="8" spans="1:15" x14ac:dyDescent="0.2">
      <c r="A8" s="22" t="s">
        <v>490</v>
      </c>
      <c r="B8" s="23"/>
      <c r="F8">
        <f>QUARTILE(ARABALAR!F2:F429,3)</f>
        <v>39205</v>
      </c>
      <c r="G8">
        <f>QUARTILE(ARABALAR!G2:G429,3)</f>
        <v>35710.25</v>
      </c>
      <c r="H8">
        <f>QUARTILE(ARABALAR!H2:H429,3)</f>
        <v>3.9</v>
      </c>
      <c r="I8">
        <f>QUARTILE(ARABALAR!I2:I429,3)</f>
        <v>6</v>
      </c>
      <c r="J8">
        <f>QUARTILE(ARABALAR!J2:J429,3)</f>
        <v>255</v>
      </c>
      <c r="K8">
        <f>QUARTILE(ARABALAR!K2:K429,3)</f>
        <v>21.25</v>
      </c>
      <c r="L8">
        <f>QUARTILE(ARABALAR!L2:L429,3)</f>
        <v>29</v>
      </c>
      <c r="M8">
        <f>QUARTILE(ARABALAR!M2:M429,3)</f>
        <v>3977.75</v>
      </c>
      <c r="N8">
        <f>QUARTILE(ARABALAR!N2:N429,3)</f>
        <v>112</v>
      </c>
      <c r="O8">
        <f>QUARTILE(ARABALAR!O2:O429,3)</f>
        <v>194</v>
      </c>
    </row>
    <row r="9" spans="1:15" x14ac:dyDescent="0.2">
      <c r="A9" s="22" t="s">
        <v>491</v>
      </c>
      <c r="B9" s="23"/>
      <c r="F9">
        <f>PERCENTILE(ARABALAR!F2:F429,0.1)</f>
        <v>15484.5</v>
      </c>
      <c r="G9">
        <f>PERCENTILE(ARABALAR!G2:G429,0.1)</f>
        <v>14459.7</v>
      </c>
      <c r="H9">
        <f>PERCENTILE(ARABALAR!H2:H429,0.1)</f>
        <v>1.8</v>
      </c>
      <c r="I9">
        <f>PERCENTILE(ARABALAR!I2:I429,0.1)</f>
        <v>4</v>
      </c>
      <c r="J9">
        <f>PERCENTILE(ARABALAR!J2:J429,0.1)</f>
        <v>130</v>
      </c>
      <c r="K9">
        <f>PERCENTILE(ARABALAR!K2:K429,0.1)</f>
        <v>15</v>
      </c>
      <c r="L9">
        <f>PERCENTILE(ARABALAR!L2:L429,0.1)</f>
        <v>20</v>
      </c>
      <c r="M9">
        <f>PERCENTILE(ARABALAR!M2:M429,0.1)</f>
        <v>2678.7</v>
      </c>
      <c r="N9">
        <f>PERCENTILE(ARABALAR!N2:N429,0.1)</f>
        <v>99</v>
      </c>
      <c r="O9">
        <f>PERCENTILE(ARABALAR!O2:O429,0.1)</f>
        <v>168</v>
      </c>
    </row>
    <row r="10" spans="1:15" x14ac:dyDescent="0.2">
      <c r="A10" s="22" t="s">
        <v>492</v>
      </c>
      <c r="B10" s="23"/>
      <c r="F10">
        <f>MIN(ARABALAR!F2:F429)</f>
        <v>10280</v>
      </c>
      <c r="G10">
        <f>MIN(ARABALAR!G2:G429)</f>
        <v>9875</v>
      </c>
      <c r="H10">
        <f>MIN(ARABALAR!H2:H429)</f>
        <v>1.3</v>
      </c>
      <c r="I10">
        <f>MIN(ARABALAR!I2:I429)</f>
        <v>3</v>
      </c>
      <c r="J10">
        <f>MIN(ARABALAR!J2:J429)</f>
        <v>73</v>
      </c>
      <c r="K10">
        <f>MIN(ARABALAR!K2:K429)</f>
        <v>10</v>
      </c>
      <c r="L10">
        <f>MIN(ARABALAR!L2:L429)</f>
        <v>12</v>
      </c>
      <c r="M10">
        <f>MIN(ARABALAR!M2:M429)</f>
        <v>1850</v>
      </c>
      <c r="N10">
        <f>MIN(ARABALAR!N2:N429)</f>
        <v>89</v>
      </c>
      <c r="O10">
        <f>MIN(ARABALAR!O2:O429)</f>
        <v>143</v>
      </c>
    </row>
    <row r="11" spans="1:15" x14ac:dyDescent="0.2">
      <c r="A11" s="22" t="s">
        <v>493</v>
      </c>
      <c r="B11" s="23"/>
      <c r="F11">
        <f>MAX(ARABALAR!F2:F429)</f>
        <v>192465</v>
      </c>
      <c r="G11">
        <f>MAX(ARABALAR!G2:G429)</f>
        <v>173560</v>
      </c>
      <c r="H11">
        <f>MAX(ARABALAR!H2:H429)</f>
        <v>8.3000000000000007</v>
      </c>
      <c r="I11">
        <f>MAX(ARABALAR!I2:I429)</f>
        <v>12</v>
      </c>
      <c r="J11">
        <f>MAX(ARABALAR!J2:J429)</f>
        <v>500</v>
      </c>
      <c r="K11">
        <f>MAX(ARABALAR!K2:K429)</f>
        <v>60</v>
      </c>
      <c r="L11">
        <f>MAX(ARABALAR!L2:L429)</f>
        <v>66</v>
      </c>
      <c r="M11">
        <f>MAX(ARABALAR!M2:M429)</f>
        <v>7190</v>
      </c>
      <c r="N11">
        <f>MAX(ARABALAR!N2:N429)</f>
        <v>144</v>
      </c>
      <c r="O11">
        <f>MAX(ARABALAR!O2:O429)</f>
        <v>238</v>
      </c>
    </row>
    <row r="12" spans="1:15" x14ac:dyDescent="0.2">
      <c r="A12" s="22" t="s">
        <v>494</v>
      </c>
      <c r="B12" s="23"/>
      <c r="F12">
        <f>MAX(ARABALAR!F2:F429)-MIN(ARABALAR!F2:F429)</f>
        <v>182185</v>
      </c>
      <c r="G12">
        <f>MAX(ARABALAR!G2:G429)-MIN(ARABALAR!G2:G429)</f>
        <v>163685</v>
      </c>
      <c r="H12">
        <f>MAX(ARABALAR!H2:H429)-MIN(ARABALAR!H2:H429)</f>
        <v>7.0000000000000009</v>
      </c>
      <c r="I12">
        <f>MAX(ARABALAR!I2:I429)-MIN(ARABALAR!I2:I429)</f>
        <v>9</v>
      </c>
      <c r="J12">
        <f>MAX(ARABALAR!J2:J429)-MIN(ARABALAR!J2:J429)</f>
        <v>427</v>
      </c>
      <c r="K12">
        <f>MAX(ARABALAR!K2:K429)-MIN(ARABALAR!K2:K429)</f>
        <v>50</v>
      </c>
      <c r="L12">
        <f>MAX(ARABALAR!L2:L429)-MIN(ARABALAR!L2:L429)</f>
        <v>54</v>
      </c>
      <c r="M12">
        <f>MAX(ARABALAR!M2:M429)-MIN(ARABALAR!M2:M429)</f>
        <v>5340</v>
      </c>
      <c r="N12">
        <f>MAX(ARABALAR!N2:N429)-MIN(ARABALAR!N2:N429)</f>
        <v>55</v>
      </c>
      <c r="O12">
        <f>MAX(ARABALAR!O2:O429)-MIN(ARABALAR!O2:O429)</f>
        <v>95</v>
      </c>
    </row>
    <row r="13" spans="1:15" x14ac:dyDescent="0.2">
      <c r="A13" s="22" t="s">
        <v>495</v>
      </c>
      <c r="B13" s="23"/>
      <c r="F13">
        <f>QUARTILE(ARABALAR!F2:F429,3)-QUARTILE(ARABALAR!F2:F429,1)</f>
        <v>18870.75</v>
      </c>
      <c r="G13">
        <f>QUARTILE(ARABALAR!G2:G429,3)-QUARTILE(ARABALAR!G2:G429,1)</f>
        <v>16844.25</v>
      </c>
      <c r="H13">
        <f>QUARTILE(ARABALAR!H2:H429,3)-QUARTILE(ARABALAR!H2:H429,1)</f>
        <v>1.5249999999999999</v>
      </c>
      <c r="I13">
        <f>QUARTILE(ARABALAR!I2:I429,3)-QUARTILE(ARABALAR!I2:I429,1)</f>
        <v>2</v>
      </c>
      <c r="J13">
        <f>QUARTILE(ARABALAR!J2:J429,3)-QUARTILE(ARABALAR!J2:J429,1)</f>
        <v>90</v>
      </c>
      <c r="K13">
        <f>QUARTILE(ARABALAR!K2:K429,3)-QUARTILE(ARABALAR!K2:K429,1)</f>
        <v>4.25</v>
      </c>
      <c r="L13">
        <f>QUARTILE(ARABALAR!L2:L429,3)-QUARTILE(ARABALAR!L2:L429,1)</f>
        <v>5</v>
      </c>
      <c r="M13">
        <f>QUARTILE(ARABALAR!M2:M429,3)-QUARTILE(ARABALAR!M2:M429,1)</f>
        <v>873.75</v>
      </c>
      <c r="N13">
        <f>QUARTILE(ARABALAR!N2:N429,3)-QUARTILE(ARABALAR!N2:N429,1)</f>
        <v>9</v>
      </c>
      <c r="O13">
        <f>QUARTILE(ARABALAR!O2:O429,3)-QUARTILE(ARABALAR!O2:O429,1)</f>
        <v>16</v>
      </c>
    </row>
    <row r="14" spans="1:15" x14ac:dyDescent="0.2">
      <c r="A14" s="22" t="s">
        <v>496</v>
      </c>
      <c r="B14" s="23"/>
      <c r="F14">
        <f>VAR(ARABALAR!F2:F429)</f>
        <v>377591612.88763154</v>
      </c>
      <c r="G14">
        <f>VAR(ARABALAR!G2:G429)</f>
        <v>311244318.71597099</v>
      </c>
      <c r="H14">
        <f>VAR(ARABALAR!H2:H429)</f>
        <v>1.2289822495567613</v>
      </c>
      <c r="I14">
        <f>VAR(ARABALAR!I2:I429)</f>
        <v>2.4541136816301514</v>
      </c>
      <c r="J14">
        <f>VAR(ARABALAR!J2:J429)</f>
        <v>5160.4154336930142</v>
      </c>
      <c r="K14">
        <f>VAR(ARABALAR!K2:K429)</f>
        <v>27.438924029854043</v>
      </c>
      <c r="L14">
        <f>VAR(ARABALAR!L2:L429)</f>
        <v>32.96138567270016</v>
      </c>
      <c r="M14">
        <f>VAR(ARABALAR!M2:M429)</f>
        <v>576055.52005953202</v>
      </c>
      <c r="N14">
        <f>VAR(ARABALAR!N2:N429)</f>
        <v>69.086235198844349</v>
      </c>
      <c r="O14">
        <f>VAR(ARABALAR!O2:O429)</f>
        <v>206.15191293309115</v>
      </c>
    </row>
    <row r="15" spans="1:15" x14ac:dyDescent="0.2">
      <c r="A15" s="22" t="s">
        <v>497</v>
      </c>
      <c r="B15" s="23"/>
      <c r="F15" s="10">
        <f>STDEV(ARABALAR!F2:F429)</f>
        <v>19431.716673717521</v>
      </c>
      <c r="G15" s="10">
        <f>STDEV(ARABALAR!G2:G429)</f>
        <v>17642.117750314756</v>
      </c>
      <c r="H15" s="10">
        <f>STDEV(ARABALAR!H2:H429)</f>
        <v>1.1085947183514637</v>
      </c>
      <c r="I15" s="10">
        <f>STDEV(ARABALAR!I2:I429)</f>
        <v>1.5665611005096964</v>
      </c>
      <c r="J15" s="10">
        <f>STDEV(ARABALAR!J2:J429)</f>
        <v>71.83603158369074</v>
      </c>
      <c r="K15" s="10">
        <f>STDEV(ARABALAR!K2:K429)</f>
        <v>5.2382176386490515</v>
      </c>
      <c r="L15" s="10">
        <f>STDEV(ARABALAR!L2:L429)</f>
        <v>5.7412007169842232</v>
      </c>
      <c r="M15" s="10">
        <f>STDEV(ARABALAR!M2:M429)</f>
        <v>758.98321460987006</v>
      </c>
      <c r="N15" s="10">
        <f>STDEV(ARABALAR!N2:N429)</f>
        <v>8.3118129910895107</v>
      </c>
      <c r="O15" s="10">
        <f>STDEV(ARABALAR!O2:O429)</f>
        <v>14.357991256895623</v>
      </c>
    </row>
    <row r="16" spans="1:15" x14ac:dyDescent="0.2">
      <c r="A16" s="22" t="s">
        <v>498</v>
      </c>
      <c r="B16" s="23"/>
      <c r="F16" s="10">
        <f t="shared" ref="F16:O16" si="0">F15/F2*100</f>
        <v>59.288489882267406</v>
      </c>
      <c r="G16" s="10">
        <f t="shared" si="0"/>
        <v>58.778255991181858</v>
      </c>
      <c r="H16" s="10">
        <f t="shared" si="0"/>
        <v>34.679033727117826</v>
      </c>
      <c r="I16" s="10">
        <f t="shared" si="0"/>
        <v>27.035812541054437</v>
      </c>
      <c r="J16" s="10">
        <f t="shared" si="0"/>
        <v>33.275058732042162</v>
      </c>
      <c r="K16" s="10">
        <f t="shared" si="0"/>
        <v>26.111776721893708</v>
      </c>
      <c r="L16" s="10">
        <f t="shared" si="0"/>
        <v>21.387709172854446</v>
      </c>
      <c r="M16" s="10">
        <f t="shared" si="0"/>
        <v>21.212776051482496</v>
      </c>
      <c r="N16" s="10">
        <f t="shared" si="0"/>
        <v>7.6851500544098297</v>
      </c>
      <c r="O16" s="10">
        <f t="shared" si="0"/>
        <v>7.7043494577076173</v>
      </c>
    </row>
    <row r="17" spans="1:15" x14ac:dyDescent="0.2">
      <c r="A17" s="22" t="s">
        <v>499</v>
      </c>
      <c r="B17" s="23"/>
      <c r="F17" s="10">
        <f>SKEW(ARABALAR!F2:F429)</f>
        <v>2.7980992746701729</v>
      </c>
      <c r="G17" s="10">
        <f>SKEW(ARABALAR!G2:G429)</f>
        <v>2.8347404043922202</v>
      </c>
      <c r="H17" s="10">
        <f>SKEW(ARABALAR!H2:H429)</f>
        <v>0.7081519824692194</v>
      </c>
      <c r="I17" s="10">
        <f>SKEW(ARABALAR!I2:I429)</f>
        <v>0.57902569728376541</v>
      </c>
      <c r="J17" s="10">
        <f>SKEW(ARABALAR!J2:J429)</f>
        <v>0.93033073630280649</v>
      </c>
      <c r="K17" s="10">
        <f>SKEW(ARABALAR!K2:K429)</f>
        <v>2.7820718025203517</v>
      </c>
      <c r="L17" s="10">
        <f>SKEW(ARABALAR!L2:L429)</f>
        <v>1.2523952728077929</v>
      </c>
      <c r="M17" s="10">
        <f>SKEW(ARABALAR!M2:M429)</f>
        <v>0.89182423176941916</v>
      </c>
      <c r="N17" s="10">
        <f>SKEW(ARABALAR!N2:N429)</f>
        <v>0.96228697323172818</v>
      </c>
      <c r="O17" s="10">
        <f>SKEW(ARABALAR!O2:O429)</f>
        <v>0.18197703184461228</v>
      </c>
    </row>
    <row r="18" spans="1:15" x14ac:dyDescent="0.2">
      <c r="A18" s="22" t="s">
        <v>500</v>
      </c>
      <c r="B18" s="23"/>
      <c r="F18" s="10">
        <f>KURT(ARABALAR!F2:F429)</f>
        <v>13.879205524289224</v>
      </c>
      <c r="G18" s="10">
        <f>KURT(ARABALAR!G2:G429)</f>
        <v>13.946163767623423</v>
      </c>
      <c r="H18" s="10">
        <f>KURT(ARABALAR!H2:H429)</f>
        <v>0.54194353776330129</v>
      </c>
      <c r="I18" s="10">
        <f>KURT(ARABALAR!I2:I429)</f>
        <v>0.42132526467421982</v>
      </c>
      <c r="J18" s="10">
        <f>KURT(ARABALAR!J2:J429)</f>
        <v>1.5521586287813136</v>
      </c>
      <c r="K18" s="10">
        <f>KURT(ARABALAR!K2:K429)</f>
        <v>15.791147306810641</v>
      </c>
      <c r="L18" s="10">
        <f>KURT(ARABALAR!L2:L429)</f>
        <v>6.0456106814059964</v>
      </c>
      <c r="M18" s="10">
        <f>KURT(ARABALAR!M2:M429)</f>
        <v>1.6887885256261557</v>
      </c>
      <c r="N18" s="10">
        <f>KURT(ARABALAR!N2:N429)</f>
        <v>2.1336492038027739</v>
      </c>
      <c r="O18" s="10">
        <f>KURT(ARABALAR!O2:O429)</f>
        <v>0.61472450544629087</v>
      </c>
    </row>
    <row r="19" spans="1:15" x14ac:dyDescent="0.2">
      <c r="A19" s="26" t="s">
        <v>7</v>
      </c>
      <c r="B19" s="27"/>
      <c r="C19" s="12" t="s">
        <v>501</v>
      </c>
      <c r="D19" s="13"/>
      <c r="E19" s="13"/>
      <c r="F19" s="14">
        <f t="shared" ref="F19:O19" si="1">F2+2*F15</f>
        <v>71638.288487621961</v>
      </c>
      <c r="G19" s="14">
        <f t="shared" si="1"/>
        <v>65298.936435208947</v>
      </c>
      <c r="H19" s="14">
        <f t="shared" si="1"/>
        <v>5.4139184086655465</v>
      </c>
      <c r="I19" s="14">
        <f t="shared" si="1"/>
        <v>8.9275147243838795</v>
      </c>
      <c r="J19" s="14">
        <f t="shared" si="1"/>
        <v>359.5575771860731</v>
      </c>
      <c r="K19" s="14">
        <f t="shared" si="1"/>
        <v>30.537182940849505</v>
      </c>
      <c r="L19" s="14">
        <f t="shared" si="1"/>
        <v>38.325859377893678</v>
      </c>
      <c r="M19" s="14">
        <f t="shared" si="1"/>
        <v>5095.9197002477777</v>
      </c>
      <c r="N19" s="14">
        <f t="shared" si="1"/>
        <v>124.77783158965566</v>
      </c>
      <c r="O19" s="14">
        <f t="shared" si="1"/>
        <v>215.07813204650154</v>
      </c>
    </row>
    <row r="20" spans="1:15" x14ac:dyDescent="0.2">
      <c r="A20" s="26" t="s">
        <v>7</v>
      </c>
      <c r="B20" s="27"/>
      <c r="C20" s="12" t="s">
        <v>502</v>
      </c>
      <c r="D20" s="13"/>
      <c r="E20" s="13"/>
      <c r="F20" s="14">
        <f t="shared" ref="F20:O20" si="2">F2-2*F15</f>
        <v>-6088.5782072481234</v>
      </c>
      <c r="G20" s="14">
        <f t="shared" si="2"/>
        <v>-5269.5345660500716</v>
      </c>
      <c r="H20" s="14">
        <f t="shared" si="2"/>
        <v>0.97953953525969206</v>
      </c>
      <c r="I20" s="14">
        <f t="shared" si="2"/>
        <v>2.6612703223450933</v>
      </c>
      <c r="J20" s="14">
        <f t="shared" si="2"/>
        <v>72.213450851310114</v>
      </c>
      <c r="K20" s="14">
        <f t="shared" si="2"/>
        <v>9.5843123862533002</v>
      </c>
      <c r="L20" s="14">
        <f t="shared" si="2"/>
        <v>15.361056509956788</v>
      </c>
      <c r="M20" s="14">
        <f t="shared" si="2"/>
        <v>2059.986841808297</v>
      </c>
      <c r="N20" s="14">
        <f t="shared" si="2"/>
        <v>91.530579625297619</v>
      </c>
      <c r="O20" s="14">
        <f t="shared" si="2"/>
        <v>157.64616701891902</v>
      </c>
    </row>
    <row r="21" spans="1:15" x14ac:dyDescent="0.2">
      <c r="A21" s="28" t="s">
        <v>503</v>
      </c>
      <c r="B21" s="29"/>
      <c r="C21" s="15" t="s">
        <v>501</v>
      </c>
      <c r="D21" s="16"/>
      <c r="E21" s="16"/>
      <c r="F21" s="17">
        <f t="shared" ref="F21:O21" si="3">F7+1.5*(F8-F7)</f>
        <v>48640.375</v>
      </c>
      <c r="G21" s="17">
        <f t="shared" si="3"/>
        <v>44132.375</v>
      </c>
      <c r="H21" s="17">
        <f t="shared" si="3"/>
        <v>4.6624999999999996</v>
      </c>
      <c r="I21" s="17">
        <f t="shared" si="3"/>
        <v>7</v>
      </c>
      <c r="J21" s="17">
        <f t="shared" si="3"/>
        <v>300</v>
      </c>
      <c r="K21" s="17">
        <f t="shared" si="3"/>
        <v>23.375</v>
      </c>
      <c r="L21" s="17">
        <f t="shared" si="3"/>
        <v>31.5</v>
      </c>
      <c r="M21" s="17">
        <f t="shared" si="3"/>
        <v>4414.625</v>
      </c>
      <c r="N21" s="17">
        <f t="shared" si="3"/>
        <v>116.5</v>
      </c>
      <c r="O21" s="17">
        <f t="shared" si="3"/>
        <v>202</v>
      </c>
    </row>
    <row r="22" spans="1:15" x14ac:dyDescent="0.2">
      <c r="A22" s="28" t="s">
        <v>503</v>
      </c>
      <c r="B22" s="29"/>
      <c r="C22" s="15" t="s">
        <v>502</v>
      </c>
      <c r="D22" s="16"/>
      <c r="E22" s="16"/>
      <c r="F22" s="17">
        <f t="shared" ref="F22:O22" si="4">F7-1.5*(F8-F7)</f>
        <v>-7971.875</v>
      </c>
      <c r="G22" s="17">
        <f t="shared" si="4"/>
        <v>-6400.375</v>
      </c>
      <c r="H22" s="17">
        <f t="shared" si="4"/>
        <v>8.7500000000000355E-2</v>
      </c>
      <c r="I22" s="17">
        <f t="shared" si="4"/>
        <v>1</v>
      </c>
      <c r="J22" s="17">
        <f t="shared" si="4"/>
        <v>30</v>
      </c>
      <c r="K22" s="17">
        <f t="shared" si="4"/>
        <v>10.625</v>
      </c>
      <c r="L22" s="17">
        <f t="shared" si="4"/>
        <v>16.5</v>
      </c>
      <c r="M22" s="17">
        <f t="shared" si="4"/>
        <v>1793.375</v>
      </c>
      <c r="N22" s="17">
        <f t="shared" si="4"/>
        <v>89.5</v>
      </c>
      <c r="O22" s="17">
        <f t="shared" si="4"/>
        <v>154</v>
      </c>
    </row>
    <row r="23" spans="1:15" x14ac:dyDescent="0.2">
      <c r="A23" s="30" t="s">
        <v>8</v>
      </c>
      <c r="B23" s="31"/>
      <c r="C23" s="18" t="s">
        <v>501</v>
      </c>
      <c r="D23" s="19"/>
      <c r="E23" s="19"/>
      <c r="F23" s="20">
        <f t="shared" ref="F23:O23" si="5">F5+2*(F8-F7)</f>
        <v>65376.5</v>
      </c>
      <c r="G23" s="20">
        <f t="shared" si="5"/>
        <v>58983</v>
      </c>
      <c r="H23" s="20">
        <f t="shared" si="5"/>
        <v>6.05</v>
      </c>
      <c r="I23" s="20">
        <f t="shared" si="5"/>
        <v>10</v>
      </c>
      <c r="J23" s="20">
        <f t="shared" si="5"/>
        <v>390</v>
      </c>
      <c r="K23" s="20">
        <f t="shared" si="5"/>
        <v>27.5</v>
      </c>
      <c r="L23" s="20">
        <f t="shared" si="5"/>
        <v>36</v>
      </c>
      <c r="M23" s="20">
        <f t="shared" si="5"/>
        <v>5222</v>
      </c>
      <c r="N23" s="20">
        <f t="shared" si="5"/>
        <v>125</v>
      </c>
      <c r="O23" s="20">
        <f t="shared" si="5"/>
        <v>219</v>
      </c>
    </row>
    <row r="24" spans="1:15" x14ac:dyDescent="0.2">
      <c r="A24" s="30" t="s">
        <v>8</v>
      </c>
      <c r="B24" s="31"/>
      <c r="C24" s="18" t="s">
        <v>502</v>
      </c>
      <c r="D24" s="19"/>
      <c r="E24" s="19"/>
      <c r="F24" s="20">
        <f t="shared" ref="F24:O24" si="6">F5-2*(F8-F7)</f>
        <v>-10106.5</v>
      </c>
      <c r="G24" s="20">
        <f t="shared" si="6"/>
        <v>-8394</v>
      </c>
      <c r="H24" s="20">
        <f t="shared" si="6"/>
        <v>-4.9999999999999822E-2</v>
      </c>
      <c r="I24" s="20">
        <f t="shared" si="6"/>
        <v>2</v>
      </c>
      <c r="J24" s="20">
        <f t="shared" si="6"/>
        <v>30</v>
      </c>
      <c r="K24" s="20">
        <f t="shared" si="6"/>
        <v>10.5</v>
      </c>
      <c r="L24" s="20">
        <f t="shared" si="6"/>
        <v>16</v>
      </c>
      <c r="M24" s="20">
        <f t="shared" si="6"/>
        <v>1727</v>
      </c>
      <c r="N24" s="20">
        <f t="shared" si="6"/>
        <v>89</v>
      </c>
      <c r="O24" s="20">
        <f t="shared" si="6"/>
        <v>155</v>
      </c>
    </row>
    <row r="25" spans="1:15" x14ac:dyDescent="0.2">
      <c r="A25" s="22" t="s">
        <v>504</v>
      </c>
      <c r="B25" s="23"/>
      <c r="C25">
        <f>1+3.3*LOG(428)</f>
        <v>9.6837644377434682</v>
      </c>
    </row>
    <row r="26" spans="1:15" x14ac:dyDescent="0.2">
      <c r="A26" s="22" t="s">
        <v>505</v>
      </c>
      <c r="B26" s="23"/>
      <c r="C26" s="21">
        <f>CORREL(ARABALAR!H1:H429,ARABALAR!M1:M429)</f>
        <v>0.80786673885325666</v>
      </c>
      <c r="D26" s="21" t="s">
        <v>506</v>
      </c>
    </row>
    <row r="27" spans="1:15" x14ac:dyDescent="0.2">
      <c r="A27" s="22" t="s">
        <v>507</v>
      </c>
      <c r="B27" s="23"/>
      <c r="C27">
        <f>COVAR(ARABALAR!H1:H429,ARABALAR!M1:M429)</f>
        <v>678.15475369027877</v>
      </c>
      <c r="D27" s="21" t="s">
        <v>506</v>
      </c>
    </row>
  </sheetData>
  <mergeCells count="26">
    <mergeCell ref="A26:B26"/>
    <mergeCell ref="A27:B27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ARABALAR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Mert AKTAŞ</dc:creator>
  <cp:lastModifiedBy>user</cp:lastModifiedBy>
  <dcterms:created xsi:type="dcterms:W3CDTF">2022-06-06T08:38:34Z</dcterms:created>
  <dcterms:modified xsi:type="dcterms:W3CDTF">2025-02-10T18:03:34Z</dcterms:modified>
</cp:coreProperties>
</file>